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igaostrowska/Desktop/My_PhD_Projects/GenomeBiology/Statystyka/od_Agnieszki/meta-analysis/data/raw/"/>
    </mc:Choice>
  </mc:AlternateContent>
  <xr:revisionPtr revIDLastSave="0" documentId="13_ncr:1_{17D9F0B7-DD8A-0549-8D3C-2300E806FD72}" xr6:coauthVersionLast="47" xr6:coauthVersionMax="47" xr10:uidLastSave="{00000000-0000-0000-0000-000000000000}"/>
  <bookViews>
    <workbookView xWindow="30240" yWindow="600" windowWidth="38400" windowHeight="23400" activeTab="1" xr2:uid="{00000000-000D-0000-FFFF-FFFF00000000}"/>
  </bookViews>
  <sheets>
    <sheet name="Benchmarki" sheetId="1" r:id="rId1"/>
    <sheet name="Sensitivity, Precision" sheetId="2" r:id="rId2"/>
    <sheet name="simulated" sheetId="3" r:id="rId3"/>
    <sheet name="real" sheetId="4" r:id="rId4"/>
    <sheet name="Dataset details" sheetId="5" r:id="rId5"/>
    <sheet name="List of data" sheetId="6" r:id="rId6"/>
    <sheet name="Benchmark Toolkit" sheetId="7" r:id="rId7"/>
    <sheet name="Symulatory" sheetId="8" r:id="rId8"/>
    <sheet name="Dockery" sheetId="9" r:id="rId9"/>
    <sheet name="Data access" sheetId="10" r:id="rId10"/>
    <sheet name="Pre-processing reproducibility" sheetId="11" r:id="rId11"/>
    <sheet name="Gold standard" sheetId="12" r:id="rId12"/>
    <sheet name="Tool statistics" sheetId="13" r:id="rId13"/>
    <sheet name="Tool versions" sheetId="14" r:id="rId14"/>
  </sheets>
  <definedNames>
    <definedName name="_xlnm._FilterDatabase" localSheetId="1" hidden="1">'Sensitivity, Precision'!$A$1:$P$368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8" i="2" l="1"/>
  <c r="M368" i="2" s="1"/>
  <c r="J367" i="2"/>
  <c r="M367" i="2" s="1"/>
  <c r="J366" i="2"/>
  <c r="M366" i="2" s="1"/>
  <c r="L365" i="2"/>
  <c r="L366" i="2"/>
  <c r="L367" i="2"/>
  <c r="L368" i="2"/>
  <c r="J365" i="2"/>
  <c r="M365" i="2" s="1"/>
  <c r="J364" i="2"/>
  <c r="M364" i="2" s="1"/>
  <c r="L364" i="2"/>
  <c r="K45" i="13"/>
  <c r="J45" i="13"/>
  <c r="I45" i="13"/>
  <c r="H45" i="13"/>
  <c r="G45" i="13"/>
  <c r="F45" i="13"/>
  <c r="E45" i="13"/>
  <c r="D45" i="13"/>
  <c r="C45" i="13"/>
  <c r="B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8" i="13"/>
  <c r="L7" i="13"/>
  <c r="L6" i="13"/>
  <c r="L5" i="13"/>
  <c r="L4" i="13"/>
  <c r="N194" i="4"/>
  <c r="N179" i="3"/>
  <c r="L362" i="2"/>
  <c r="J362" i="2"/>
  <c r="M362" i="2" s="1"/>
  <c r="L361" i="2"/>
  <c r="J361" i="2"/>
  <c r="M361" i="2" s="1"/>
  <c r="L360" i="2"/>
  <c r="J360" i="2"/>
  <c r="M360" i="2" s="1"/>
  <c r="L359" i="2"/>
  <c r="J359" i="2"/>
  <c r="M359" i="2" s="1"/>
  <c r="L358" i="2"/>
  <c r="J358" i="2"/>
  <c r="M358" i="2" s="1"/>
  <c r="L357" i="2"/>
  <c r="J357" i="2"/>
  <c r="M357" i="2" s="1"/>
  <c r="J299" i="2"/>
  <c r="J298" i="2"/>
  <c r="J297" i="2"/>
  <c r="J296" i="2"/>
  <c r="J295" i="2"/>
  <c r="J294" i="2"/>
  <c r="J293" i="2"/>
  <c r="J292" i="2"/>
  <c r="J291" i="2"/>
  <c r="N290" i="2"/>
  <c r="H290" i="2"/>
  <c r="J290" i="2" s="1"/>
  <c r="I290" i="2" s="1"/>
  <c r="N289" i="2"/>
  <c r="H289" i="2"/>
  <c r="J289" i="2" s="1"/>
  <c r="I289" i="2" s="1"/>
  <c r="N288" i="2"/>
  <c r="H288" i="2"/>
  <c r="J288" i="2" s="1"/>
  <c r="I288" i="2" s="1"/>
  <c r="N287" i="2"/>
  <c r="H287" i="2"/>
  <c r="J287" i="2" s="1"/>
  <c r="I287" i="2" s="1"/>
  <c r="N286" i="2"/>
  <c r="H286" i="2"/>
  <c r="J286" i="2" s="1"/>
  <c r="I286" i="2" s="1"/>
  <c r="N285" i="2"/>
  <c r="H285" i="2"/>
  <c r="J285" i="2" s="1"/>
  <c r="I285" i="2" s="1"/>
  <c r="N284" i="2"/>
  <c r="H284" i="2"/>
  <c r="J284" i="2" s="1"/>
  <c r="I284" i="2" s="1"/>
  <c r="N283" i="2"/>
  <c r="H283" i="2"/>
  <c r="J283" i="2" s="1"/>
  <c r="I283" i="2" s="1"/>
  <c r="N282" i="2"/>
  <c r="H282" i="2"/>
  <c r="J282" i="2" s="1"/>
  <c r="I282" i="2" s="1"/>
  <c r="N281" i="2"/>
  <c r="H281" i="2"/>
  <c r="J281" i="2" s="1"/>
  <c r="I281" i="2" s="1"/>
  <c r="N280" i="2"/>
  <c r="H280" i="2"/>
  <c r="J280" i="2" s="1"/>
  <c r="I280" i="2" s="1"/>
  <c r="N279" i="2"/>
  <c r="H279" i="2"/>
  <c r="J279" i="2" s="1"/>
  <c r="I279" i="2" s="1"/>
  <c r="N278" i="2"/>
  <c r="H278" i="2"/>
  <c r="J278" i="2" s="1"/>
  <c r="I278" i="2" s="1"/>
  <c r="N277" i="2"/>
  <c r="H277" i="2"/>
  <c r="J277" i="2" s="1"/>
  <c r="I277" i="2" s="1"/>
  <c r="N276" i="2"/>
  <c r="H276" i="2"/>
  <c r="J276" i="2" s="1"/>
  <c r="I276" i="2" s="1"/>
  <c r="N275" i="2"/>
  <c r="H275" i="2"/>
  <c r="J275" i="2" s="1"/>
  <c r="I275" i="2" s="1"/>
  <c r="N274" i="2"/>
  <c r="H274" i="2"/>
  <c r="J274" i="2" s="1"/>
  <c r="I274" i="2" s="1"/>
  <c r="N273" i="2"/>
  <c r="H273" i="2"/>
  <c r="J273" i="2" s="1"/>
  <c r="I273" i="2" s="1"/>
  <c r="N272" i="2"/>
  <c r="H272" i="2"/>
  <c r="J272" i="2" s="1"/>
  <c r="I272" i="2" s="1"/>
  <c r="N271" i="2"/>
  <c r="H271" i="2"/>
  <c r="J271" i="2" s="1"/>
  <c r="I271" i="2" s="1"/>
  <c r="N270" i="2"/>
  <c r="H270" i="2"/>
  <c r="J270" i="2" s="1"/>
  <c r="I270" i="2" s="1"/>
  <c r="N269" i="2"/>
  <c r="H269" i="2"/>
  <c r="J269" i="2" s="1"/>
  <c r="I269" i="2" s="1"/>
  <c r="N268" i="2"/>
  <c r="H268" i="2"/>
  <c r="J268" i="2" s="1"/>
  <c r="I268" i="2" s="1"/>
  <c r="N267" i="2"/>
  <c r="H267" i="2"/>
  <c r="J267" i="2" s="1"/>
  <c r="I267" i="2" s="1"/>
  <c r="N266" i="2"/>
  <c r="H266" i="2"/>
  <c r="J266" i="2" s="1"/>
  <c r="I266" i="2" s="1"/>
  <c r="N265" i="2"/>
  <c r="H265" i="2"/>
  <c r="J265" i="2" s="1"/>
  <c r="I265" i="2" s="1"/>
  <c r="N264" i="2"/>
  <c r="H264" i="2"/>
  <c r="J264" i="2" s="1"/>
  <c r="I264" i="2" s="1"/>
  <c r="N263" i="2"/>
  <c r="H263" i="2"/>
  <c r="J263" i="2" s="1"/>
  <c r="I263" i="2" s="1"/>
  <c r="N262" i="2"/>
  <c r="H262" i="2"/>
  <c r="J262" i="2" s="1"/>
  <c r="I262" i="2" s="1"/>
  <c r="N261" i="2"/>
  <c r="H261" i="2"/>
  <c r="J261" i="2" s="1"/>
  <c r="I261" i="2" s="1"/>
  <c r="N260" i="2"/>
  <c r="H260" i="2"/>
  <c r="J260" i="2" s="1"/>
  <c r="I260" i="2" s="1"/>
  <c r="N259" i="2"/>
  <c r="H259" i="2"/>
  <c r="J259" i="2" s="1"/>
  <c r="I259" i="2" s="1"/>
  <c r="N258" i="2"/>
  <c r="H258" i="2"/>
  <c r="J258" i="2" s="1"/>
  <c r="I258" i="2" s="1"/>
  <c r="N257" i="2"/>
  <c r="H257" i="2"/>
  <c r="J257" i="2" s="1"/>
  <c r="I257" i="2" s="1"/>
  <c r="N256" i="2"/>
  <c r="H256" i="2"/>
  <c r="J256" i="2" s="1"/>
  <c r="I256" i="2" s="1"/>
  <c r="N255" i="2"/>
  <c r="H255" i="2"/>
  <c r="J255" i="2" s="1"/>
  <c r="I255" i="2" s="1"/>
  <c r="N254" i="2"/>
  <c r="H254" i="2"/>
  <c r="J254" i="2" s="1"/>
  <c r="I254" i="2" s="1"/>
  <c r="N253" i="2"/>
  <c r="H253" i="2"/>
  <c r="J253" i="2" s="1"/>
  <c r="I253" i="2" s="1"/>
  <c r="N252" i="2"/>
  <c r="H252" i="2"/>
  <c r="J252" i="2" s="1"/>
  <c r="I252" i="2" s="1"/>
  <c r="N251" i="2"/>
  <c r="H251" i="2"/>
  <c r="J251" i="2" s="1"/>
  <c r="I251" i="2" s="1"/>
  <c r="N250" i="2"/>
  <c r="H250" i="2"/>
  <c r="J250" i="2" s="1"/>
  <c r="I250" i="2" s="1"/>
  <c r="N249" i="2"/>
  <c r="H249" i="2"/>
  <c r="J249" i="2" s="1"/>
  <c r="I249" i="2" s="1"/>
  <c r="N248" i="2"/>
  <c r="H248" i="2"/>
  <c r="J248" i="2" s="1"/>
  <c r="I248" i="2" s="1"/>
  <c r="N247" i="2"/>
  <c r="H247" i="2"/>
  <c r="J247" i="2" s="1"/>
  <c r="I247" i="2" s="1"/>
  <c r="N246" i="2"/>
  <c r="H246" i="2"/>
  <c r="J246" i="2" s="1"/>
  <c r="I246" i="2" s="1"/>
  <c r="H245" i="2"/>
  <c r="I245" i="2" s="1"/>
  <c r="N244" i="2"/>
  <c r="H244" i="2"/>
  <c r="J244" i="2" s="1"/>
  <c r="I244" i="2" s="1"/>
  <c r="N243" i="2"/>
  <c r="H243" i="2"/>
  <c r="J243" i="2" s="1"/>
  <c r="I243" i="2" s="1"/>
  <c r="N242" i="2"/>
  <c r="H242" i="2"/>
  <c r="J242" i="2" s="1"/>
  <c r="I242" i="2" s="1"/>
  <c r="N241" i="2"/>
  <c r="H241" i="2"/>
  <c r="J241" i="2" s="1"/>
  <c r="I241" i="2" s="1"/>
  <c r="N240" i="2"/>
  <c r="H240" i="2"/>
  <c r="J240" i="2" s="1"/>
  <c r="I240" i="2" s="1"/>
  <c r="N239" i="2"/>
  <c r="H239" i="2"/>
  <c r="J239" i="2" s="1"/>
  <c r="I239" i="2" s="1"/>
  <c r="N238" i="2"/>
  <c r="H238" i="2"/>
  <c r="J238" i="2" s="1"/>
  <c r="I238" i="2" s="1"/>
  <c r="N237" i="2"/>
  <c r="H237" i="2"/>
  <c r="J237" i="2" s="1"/>
  <c r="I237" i="2" s="1"/>
  <c r="N236" i="2"/>
  <c r="H236" i="2"/>
  <c r="J236" i="2" s="1"/>
  <c r="I236" i="2" s="1"/>
  <c r="N235" i="2"/>
  <c r="H235" i="2"/>
  <c r="J235" i="2" s="1"/>
  <c r="I235" i="2" s="1"/>
  <c r="N234" i="2"/>
  <c r="H234" i="2"/>
  <c r="J234" i="2" s="1"/>
  <c r="I234" i="2" s="1"/>
  <c r="N233" i="2"/>
  <c r="H233" i="2"/>
  <c r="J233" i="2" s="1"/>
  <c r="I233" i="2" s="1"/>
  <c r="N232" i="2"/>
  <c r="H232" i="2"/>
  <c r="J232" i="2" s="1"/>
  <c r="I232" i="2" s="1"/>
  <c r="N231" i="2"/>
  <c r="H231" i="2"/>
  <c r="J231" i="2" s="1"/>
  <c r="I231" i="2" s="1"/>
  <c r="N230" i="2"/>
  <c r="H230" i="2"/>
  <c r="J230" i="2" s="1"/>
  <c r="I230" i="2" s="1"/>
  <c r="N229" i="2"/>
  <c r="H229" i="2"/>
  <c r="J229" i="2" s="1"/>
  <c r="I229" i="2" s="1"/>
  <c r="N228" i="2"/>
  <c r="H228" i="2"/>
  <c r="J228" i="2" s="1"/>
  <c r="I228" i="2" s="1"/>
  <c r="N227" i="2"/>
  <c r="H227" i="2"/>
  <c r="J227" i="2" s="1"/>
  <c r="I227" i="2" s="1"/>
  <c r="N226" i="2"/>
  <c r="H226" i="2"/>
  <c r="J226" i="2" s="1"/>
  <c r="I226" i="2" s="1"/>
  <c r="N225" i="2"/>
  <c r="H225" i="2"/>
  <c r="J225" i="2" s="1"/>
  <c r="I225" i="2" s="1"/>
  <c r="N224" i="2"/>
  <c r="H224" i="2"/>
  <c r="J224" i="2" s="1"/>
  <c r="I224" i="2" s="1"/>
  <c r="N223" i="2"/>
  <c r="H223" i="2"/>
  <c r="J223" i="2" s="1"/>
  <c r="I223" i="2" s="1"/>
  <c r="N222" i="2"/>
  <c r="H222" i="2"/>
  <c r="J222" i="2" s="1"/>
  <c r="I222" i="2" s="1"/>
  <c r="N221" i="2"/>
  <c r="H221" i="2"/>
  <c r="J221" i="2" s="1"/>
  <c r="I221" i="2" s="1"/>
  <c r="N220" i="2"/>
  <c r="H220" i="2"/>
  <c r="J220" i="2" s="1"/>
  <c r="I220" i="2" s="1"/>
  <c r="N219" i="2"/>
  <c r="H219" i="2"/>
  <c r="J219" i="2" s="1"/>
  <c r="I219" i="2" s="1"/>
  <c r="N218" i="2"/>
  <c r="H218" i="2"/>
  <c r="J218" i="2" s="1"/>
  <c r="I218" i="2" s="1"/>
  <c r="N217" i="2"/>
  <c r="H217" i="2"/>
  <c r="J217" i="2" s="1"/>
  <c r="I217" i="2" s="1"/>
  <c r="N216" i="2"/>
  <c r="H216" i="2"/>
  <c r="J216" i="2" s="1"/>
  <c r="I216" i="2" s="1"/>
  <c r="N215" i="2"/>
  <c r="H215" i="2"/>
  <c r="J215" i="2" s="1"/>
  <c r="I215" i="2" s="1"/>
  <c r="N214" i="2"/>
  <c r="H214" i="2"/>
  <c r="J214" i="2" s="1"/>
  <c r="I214" i="2" s="1"/>
  <c r="N213" i="2"/>
  <c r="H213" i="2"/>
  <c r="J213" i="2" s="1"/>
  <c r="I213" i="2" s="1"/>
  <c r="N212" i="2"/>
  <c r="H212" i="2"/>
  <c r="J212" i="2" s="1"/>
  <c r="I212" i="2" s="1"/>
  <c r="N211" i="2"/>
  <c r="H211" i="2"/>
  <c r="J211" i="2" s="1"/>
  <c r="I211" i="2" s="1"/>
  <c r="N210" i="2"/>
  <c r="H210" i="2"/>
  <c r="J210" i="2" s="1"/>
  <c r="I210" i="2" s="1"/>
  <c r="N209" i="2"/>
  <c r="H209" i="2"/>
  <c r="J209" i="2" s="1"/>
  <c r="I209" i="2" s="1"/>
  <c r="N208" i="2"/>
  <c r="H208" i="2"/>
  <c r="J208" i="2" s="1"/>
  <c r="I208" i="2" s="1"/>
  <c r="N207" i="2"/>
  <c r="H207" i="2"/>
  <c r="J207" i="2" s="1"/>
  <c r="I207" i="2" s="1"/>
  <c r="N206" i="2"/>
  <c r="H206" i="2"/>
  <c r="J206" i="2" s="1"/>
  <c r="I206" i="2" s="1"/>
  <c r="N205" i="2"/>
  <c r="H205" i="2"/>
  <c r="J205" i="2" s="1"/>
  <c r="I205" i="2" s="1"/>
  <c r="N204" i="2"/>
  <c r="H204" i="2"/>
  <c r="J204" i="2" s="1"/>
  <c r="I204" i="2" s="1"/>
  <c r="N203" i="2"/>
  <c r="H203" i="2"/>
  <c r="J203" i="2" s="1"/>
  <c r="I203" i="2" s="1"/>
  <c r="N202" i="2"/>
  <c r="H202" i="2"/>
  <c r="J202" i="2" s="1"/>
  <c r="I202" i="2" s="1"/>
  <c r="N201" i="2"/>
  <c r="H201" i="2"/>
  <c r="J201" i="2" s="1"/>
  <c r="I201" i="2" s="1"/>
  <c r="N200" i="2"/>
  <c r="H200" i="2"/>
  <c r="J200" i="2" s="1"/>
  <c r="I200" i="2" s="1"/>
  <c r="N199" i="2"/>
  <c r="H199" i="2"/>
  <c r="J199" i="2" s="1"/>
  <c r="I199" i="2" s="1"/>
  <c r="N198" i="2"/>
  <c r="H198" i="2"/>
  <c r="J198" i="2" s="1"/>
  <c r="I198" i="2" s="1"/>
  <c r="N197" i="2"/>
  <c r="H197" i="2"/>
  <c r="J197" i="2" s="1"/>
  <c r="I197" i="2" s="1"/>
  <c r="N196" i="2"/>
  <c r="H196" i="2"/>
  <c r="J196" i="2" s="1"/>
  <c r="I196" i="2" s="1"/>
  <c r="N195" i="2"/>
  <c r="H195" i="2"/>
  <c r="J195" i="2" s="1"/>
  <c r="I195" i="2" s="1"/>
  <c r="N194" i="2"/>
  <c r="H194" i="2"/>
  <c r="J194" i="2" s="1"/>
  <c r="I194" i="2" s="1"/>
  <c r="N193" i="2"/>
  <c r="H193" i="2"/>
  <c r="J193" i="2" s="1"/>
  <c r="I193" i="2" s="1"/>
  <c r="N192" i="2"/>
  <c r="H192" i="2"/>
  <c r="J192" i="2" s="1"/>
  <c r="I192" i="2" s="1"/>
  <c r="N191" i="2"/>
  <c r="H191" i="2"/>
  <c r="J191" i="2" s="1"/>
  <c r="I191" i="2" s="1"/>
  <c r="N190" i="2"/>
  <c r="H190" i="2"/>
  <c r="J190" i="2" s="1"/>
  <c r="I190" i="2" s="1"/>
  <c r="N189" i="2"/>
  <c r="H189" i="2"/>
  <c r="J189" i="2" s="1"/>
  <c r="I189" i="2" s="1"/>
  <c r="N188" i="2"/>
  <c r="H188" i="2"/>
  <c r="J188" i="2" s="1"/>
  <c r="I188" i="2" s="1"/>
  <c r="N187" i="2"/>
  <c r="H187" i="2"/>
  <c r="J187" i="2" s="1"/>
  <c r="I187" i="2" s="1"/>
  <c r="N186" i="2"/>
  <c r="H186" i="2"/>
  <c r="J186" i="2" s="1"/>
  <c r="I186" i="2" s="1"/>
  <c r="N185" i="2"/>
  <c r="H185" i="2"/>
  <c r="J185" i="2" s="1"/>
  <c r="I185" i="2" s="1"/>
  <c r="N184" i="2"/>
  <c r="H184" i="2"/>
  <c r="J184" i="2" s="1"/>
  <c r="I184" i="2" s="1"/>
  <c r="N183" i="2"/>
  <c r="H183" i="2"/>
  <c r="J183" i="2" s="1"/>
  <c r="I183" i="2" s="1"/>
  <c r="N182" i="2"/>
  <c r="H182" i="2"/>
  <c r="J182" i="2" s="1"/>
  <c r="I182" i="2" s="1"/>
  <c r="N181" i="2"/>
  <c r="H181" i="2"/>
  <c r="J181" i="2" s="1"/>
  <c r="I181" i="2" s="1"/>
  <c r="N179" i="2"/>
  <c r="H179" i="2"/>
  <c r="J179" i="2" s="1"/>
  <c r="I179" i="2" s="1"/>
  <c r="M178" i="2"/>
  <c r="L178" i="2"/>
  <c r="I178" i="2"/>
  <c r="M177" i="2"/>
  <c r="L177" i="2"/>
  <c r="I177" i="2"/>
  <c r="M176" i="2"/>
  <c r="L176" i="2"/>
  <c r="I176" i="2"/>
  <c r="M175" i="2"/>
  <c r="L175" i="2"/>
  <c r="I175" i="2"/>
  <c r="M174" i="2"/>
  <c r="L174" i="2"/>
  <c r="I174" i="2"/>
  <c r="M173" i="2"/>
  <c r="L173" i="2"/>
  <c r="I173" i="2"/>
  <c r="M172" i="2"/>
  <c r="L172" i="2"/>
  <c r="I172" i="2"/>
  <c r="M171" i="2"/>
  <c r="L171" i="2"/>
  <c r="I171" i="2"/>
  <c r="M170" i="2"/>
  <c r="L170" i="2"/>
  <c r="I170" i="2"/>
  <c r="L169" i="2"/>
  <c r="I169" i="2"/>
  <c r="M168" i="2"/>
  <c r="L168" i="2"/>
  <c r="I168" i="2"/>
  <c r="M167" i="2"/>
  <c r="L167" i="2"/>
  <c r="I167" i="2"/>
  <c r="M166" i="2"/>
  <c r="L166" i="2"/>
  <c r="I166" i="2"/>
  <c r="M165" i="2"/>
  <c r="L165" i="2"/>
  <c r="I165" i="2"/>
  <c r="M164" i="2"/>
  <c r="L164" i="2"/>
  <c r="I164" i="2"/>
  <c r="L163" i="2"/>
  <c r="I163" i="2"/>
  <c r="M162" i="2"/>
  <c r="L162" i="2"/>
  <c r="I162" i="2"/>
  <c r="M161" i="2"/>
  <c r="L161" i="2"/>
  <c r="I161" i="2"/>
  <c r="M160" i="2"/>
  <c r="L160" i="2"/>
  <c r="I160" i="2"/>
  <c r="M159" i="2"/>
  <c r="L159" i="2"/>
  <c r="I159" i="2"/>
  <c r="M158" i="2"/>
  <c r="L158" i="2"/>
  <c r="I158" i="2"/>
  <c r="L157" i="2"/>
  <c r="I157" i="2"/>
  <c r="M156" i="2"/>
  <c r="L156" i="2"/>
  <c r="I156" i="2"/>
  <c r="M155" i="2"/>
  <c r="L155" i="2"/>
  <c r="I155" i="2"/>
  <c r="L154" i="2"/>
  <c r="J154" i="2"/>
  <c r="M154" i="2" s="1"/>
  <c r="L153" i="2"/>
  <c r="J153" i="2"/>
  <c r="M153" i="2" s="1"/>
  <c r="L152" i="2"/>
  <c r="J152" i="2"/>
  <c r="M152" i="2" s="1"/>
  <c r="L151" i="2"/>
  <c r="J151" i="2"/>
  <c r="M151" i="2" s="1"/>
  <c r="L150" i="2"/>
  <c r="J150" i="2"/>
  <c r="M150" i="2" s="1"/>
  <c r="J147" i="2"/>
  <c r="M147" i="2" s="1"/>
  <c r="N147" i="2" s="1"/>
  <c r="J146" i="2"/>
  <c r="M146" i="2" s="1"/>
  <c r="N146" i="2" s="1"/>
  <c r="J145" i="2"/>
  <c r="M145" i="2" s="1"/>
  <c r="N145" i="2" s="1"/>
  <c r="M144" i="2"/>
  <c r="L144" i="2"/>
  <c r="I144" i="2"/>
  <c r="M143" i="2"/>
  <c r="L143" i="2"/>
  <c r="I143" i="2"/>
  <c r="M142" i="2"/>
  <c r="L142" i="2"/>
  <c r="I142" i="2"/>
  <c r="M141" i="2"/>
  <c r="L141" i="2"/>
  <c r="I141" i="2"/>
  <c r="M140" i="2"/>
  <c r="L140" i="2"/>
  <c r="I140" i="2"/>
  <c r="L135" i="2"/>
  <c r="L134" i="2"/>
  <c r="L133" i="2"/>
  <c r="L132" i="2"/>
  <c r="L131" i="2"/>
  <c r="L130" i="2"/>
  <c r="L129" i="2"/>
  <c r="L128" i="2"/>
  <c r="M127"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J97" i="2"/>
  <c r="M97" i="2" s="1"/>
  <c r="L95" i="2"/>
  <c r="J95" i="2"/>
  <c r="M95" i="2" s="1"/>
  <c r="L94" i="2"/>
  <c r="J94" i="2"/>
  <c r="M94" i="2" s="1"/>
  <c r="L93" i="2"/>
  <c r="J93" i="2"/>
  <c r="M93" i="2" s="1"/>
  <c r="L92" i="2"/>
  <c r="J92" i="2"/>
  <c r="M92" i="2" s="1"/>
  <c r="L91" i="2"/>
  <c r="J91" i="2"/>
  <c r="M91" i="2" s="1"/>
  <c r="L89" i="2"/>
  <c r="J89" i="2"/>
  <c r="M89" i="2" s="1"/>
  <c r="L88" i="2"/>
  <c r="J88" i="2"/>
  <c r="M88" i="2" s="1"/>
  <c r="L87" i="2"/>
  <c r="J87" i="2"/>
  <c r="M87" i="2" s="1"/>
  <c r="L86" i="2"/>
  <c r="J86" i="2"/>
  <c r="M86" i="2" s="1"/>
  <c r="L85" i="2"/>
  <c r="J85" i="2"/>
  <c r="M85" i="2" s="1"/>
  <c r="L84" i="2"/>
  <c r="J84" i="2"/>
  <c r="M84" i="2" s="1"/>
  <c r="L82" i="2"/>
  <c r="J82" i="2"/>
  <c r="M82" i="2" s="1"/>
  <c r="L81" i="2"/>
  <c r="J81" i="2"/>
  <c r="M81" i="2" s="1"/>
  <c r="L78" i="2"/>
  <c r="J78" i="2"/>
  <c r="M78" i="2" s="1"/>
  <c r="L77" i="2"/>
  <c r="J77" i="2"/>
  <c r="M77" i="2" s="1"/>
  <c r="L76" i="2"/>
  <c r="J76" i="2"/>
  <c r="M76" i="2" s="1"/>
  <c r="L75" i="2"/>
  <c r="J75" i="2"/>
  <c r="M75" i="2" s="1"/>
  <c r="L74" i="2"/>
  <c r="J74" i="2"/>
  <c r="M74" i="2" s="1"/>
  <c r="L73" i="2"/>
  <c r="J73" i="2"/>
  <c r="M73" i="2" s="1"/>
  <c r="L72" i="2"/>
  <c r="J72" i="2"/>
  <c r="M72" i="2" s="1"/>
  <c r="L71" i="2"/>
  <c r="J71" i="2"/>
  <c r="M71" i="2" s="1"/>
  <c r="L70" i="2"/>
  <c r="J70" i="2"/>
  <c r="M70" i="2" s="1"/>
  <c r="L69" i="2"/>
  <c r="J69" i="2"/>
  <c r="M69" i="2" s="1"/>
  <c r="L68" i="2"/>
  <c r="J68" i="2"/>
  <c r="M68" i="2" s="1"/>
  <c r="L67" i="2"/>
  <c r="J67" i="2"/>
  <c r="M67" i="2" s="1"/>
  <c r="L66" i="2"/>
  <c r="J66" i="2"/>
  <c r="M66" i="2" s="1"/>
  <c r="L65" i="2"/>
  <c r="J65" i="2"/>
  <c r="M65" i="2" s="1"/>
  <c r="L64" i="2"/>
  <c r="J64" i="2"/>
  <c r="M64" i="2" s="1"/>
  <c r="L63" i="2"/>
  <c r="J63" i="2"/>
  <c r="M63" i="2" s="1"/>
  <c r="L62" i="2"/>
  <c r="J62" i="2"/>
  <c r="M62" i="2" s="1"/>
  <c r="L61" i="2"/>
  <c r="J61" i="2"/>
  <c r="M61" i="2" s="1"/>
  <c r="L60" i="2"/>
  <c r="J60" i="2"/>
  <c r="M60" i="2" s="1"/>
  <c r="L59" i="2"/>
  <c r="J59" i="2"/>
  <c r="M59" i="2" s="1"/>
  <c r="L58" i="2"/>
  <c r="J58" i="2"/>
  <c r="M58" i="2" s="1"/>
  <c r="L57" i="2"/>
  <c r="J57" i="2"/>
  <c r="M57" i="2" s="1"/>
  <c r="L56" i="2"/>
  <c r="J56" i="2"/>
  <c r="M56" i="2" s="1"/>
  <c r="L55" i="2"/>
  <c r="J55" i="2"/>
  <c r="M55" i="2" s="1"/>
  <c r="L54" i="2"/>
  <c r="J54" i="2"/>
  <c r="M54" i="2" s="1"/>
  <c r="L53" i="2"/>
  <c r="J53" i="2"/>
  <c r="M53" i="2" s="1"/>
  <c r="L52" i="2"/>
  <c r="J52" i="2"/>
  <c r="M52" i="2" s="1"/>
  <c r="L51" i="2"/>
  <c r="J51" i="2"/>
  <c r="M51" i="2" s="1"/>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N362" i="2" l="1"/>
  <c r="N60" i="2"/>
  <c r="N67" i="2"/>
  <c r="N54" i="2"/>
  <c r="N61" i="2"/>
  <c r="N368" i="2"/>
  <c r="N150" i="2"/>
  <c r="N68" i="2"/>
  <c r="N55" i="2"/>
  <c r="N75" i="2"/>
  <c r="N153" i="2"/>
  <c r="N144" i="2"/>
  <c r="N366" i="2"/>
  <c r="N52" i="2"/>
  <c r="N73" i="2"/>
  <c r="N357" i="2"/>
  <c r="N367" i="2"/>
  <c r="N69" i="2"/>
  <c r="N170" i="2"/>
  <c r="N178" i="2"/>
  <c r="N70" i="2"/>
  <c r="N365" i="2"/>
  <c r="N56" i="2"/>
  <c r="N173" i="2"/>
  <c r="N64" i="2"/>
  <c r="N71" i="2"/>
  <c r="N177" i="2"/>
  <c r="N51" i="2"/>
  <c r="N65" i="2"/>
  <c r="N155" i="2"/>
  <c r="N364" i="2"/>
  <c r="N165" i="2"/>
  <c r="N156" i="2"/>
  <c r="N161" i="2"/>
  <c r="N166" i="2"/>
  <c r="N158" i="2"/>
  <c r="N142" i="2"/>
  <c r="N359" i="2"/>
  <c r="N162" i="2"/>
  <c r="N59" i="2"/>
  <c r="N53" i="2"/>
  <c r="N72" i="2"/>
  <c r="N154" i="2"/>
  <c r="N159" i="2"/>
  <c r="N140" i="2"/>
  <c r="N358" i="2"/>
  <c r="N167" i="2"/>
  <c r="N176" i="2"/>
  <c r="N141" i="2"/>
  <c r="N172" i="2"/>
  <c r="N58" i="2"/>
  <c r="N152" i="2"/>
  <c r="N360" i="2"/>
  <c r="N175" i="2"/>
  <c r="N171" i="2"/>
  <c r="N66" i="2"/>
  <c r="N57" i="2"/>
  <c r="N62" i="2"/>
  <c r="N151" i="2"/>
  <c r="N160" i="2"/>
  <c r="N74" i="2"/>
  <c r="N168" i="2"/>
  <c r="N143" i="2"/>
  <c r="N174" i="2"/>
  <c r="N164" i="2"/>
  <c r="N63" i="2"/>
  <c r="N361" i="2"/>
</calcChain>
</file>

<file path=xl/sharedStrings.xml><?xml version="1.0" encoding="utf-8"?>
<sst xmlns="http://schemas.openxmlformats.org/spreadsheetml/2006/main" count="10192" uniqueCount="2562">
  <si>
    <t>Benchmark nr 1</t>
  </si>
  <si>
    <t>Dane</t>
  </si>
  <si>
    <t xml:space="preserve">doi.org/10.1186/s13059-019-1842-9 </t>
  </si>
  <si>
    <t>Nazwa narzędzia</t>
  </si>
  <si>
    <t>Rodzaj danych</t>
  </si>
  <si>
    <t>Uwagi</t>
  </si>
  <si>
    <t>https://data.broadinstitute.org/Trinity/CTAT_FUSIONTRANS_BENCHMARKING/on_cancer_cell_lines/</t>
  </si>
  <si>
    <t>Symulowane</t>
  </si>
  <si>
    <t>Real</t>
  </si>
  <si>
    <t>based on read-alignments</t>
  </si>
  <si>
    <t>STAR-Fusion</t>
  </si>
  <si>
    <t>bardzo dobrze</t>
  </si>
  <si>
    <t>nr 1</t>
  </si>
  <si>
    <t>FusionCatcher</t>
  </si>
  <si>
    <t>Arriba</t>
  </si>
  <si>
    <t>nr 2</t>
  </si>
  <si>
    <t>EricScript</t>
  </si>
  <si>
    <t xml:space="preserve">FusionHunter </t>
  </si>
  <si>
    <t>działa lepiej dla shorter reads</t>
  </si>
  <si>
    <t xml:space="preserve">STAR-SEQR </t>
  </si>
  <si>
    <t>nr 3</t>
  </si>
  <si>
    <t>ChimeraScan</t>
  </si>
  <si>
    <t>deFuse</t>
  </si>
  <si>
    <t>ChimPipe</t>
  </si>
  <si>
    <t xml:space="preserve">InFusion </t>
  </si>
  <si>
    <t>MapSplice</t>
  </si>
  <si>
    <t xml:space="preserve">nFuse </t>
  </si>
  <si>
    <t xml:space="preserve">Pizzly </t>
  </si>
  <si>
    <t xml:space="preserve">PRADA </t>
  </si>
  <si>
    <t xml:space="preserve">SOAP-fuse </t>
  </si>
  <si>
    <t>STARChip</t>
  </si>
  <si>
    <t xml:space="preserve">TopHat-Fusion </t>
  </si>
  <si>
    <t>JEFFA-Direct</t>
  </si>
  <si>
    <t>niekompatybilne z PE50</t>
  </si>
  <si>
    <t>based on transcript assembly:</t>
  </si>
  <si>
    <t>JEFFA-Assembly</t>
  </si>
  <si>
    <t>mało dokładne</t>
  </si>
  <si>
    <t>TrinityFusion-C</t>
  </si>
  <si>
    <t>najlepsza wśród de novo</t>
  </si>
  <si>
    <t>TrinityFusion-D</t>
  </si>
  <si>
    <t>TrinityFusion-UC</t>
  </si>
  <si>
    <t>a combination of both</t>
  </si>
  <si>
    <t>JEFFA-Hybrid</t>
  </si>
  <si>
    <t>Wnioski</t>
  </si>
  <si>
    <t>STAR-Fusion, Arriba i STAR-SEQR najskuteczniejsze i prawdopodobnie najlepiej nadające się do obecnych zastosowań w przetwarzaniu próbek transkryptomu nowotworu.</t>
  </si>
  <si>
    <t>Benchmark nr 2</t>
  </si>
  <si>
    <t>doi: 10.1101/gr.257246.119</t>
  </si>
  <si>
    <t>https://www.ncbi.nlm.nih.gov/pmc/articles/PMC7919457/</t>
  </si>
  <si>
    <t>Arriba v1.00</t>
  </si>
  <si>
    <t>najmniej fałszywie pozytywnych, bardzo szybki, duże zużycie pamięci</t>
  </si>
  <si>
    <t>Świetne podejście do danych. Supplemental Table S1: Benchmark datasets. EGAS00001003554 (Dataset ID: EGAD00001005069)</t>
  </si>
  <si>
    <t>FusionCatcher v1.00</t>
  </si>
  <si>
    <t>średni pod względem detekcji, średni pod względem czasu</t>
  </si>
  <si>
    <t>InFusion v0.8</t>
  </si>
  <si>
    <t>dużo fałszywie pozytywnych, raczej czasochłonny</t>
  </si>
  <si>
    <t>PRADA v1.2</t>
  </si>
  <si>
    <t>bardzo wolny</t>
  </si>
  <si>
    <t>SOAPfuse v1.27</t>
  </si>
  <si>
    <t>STAR-Fusion v1.4.0</t>
  </si>
  <si>
    <t>słaby na simulated data, dobry na real data, całkiem szybki, duże zużycie pamięci</t>
  </si>
  <si>
    <t>defuse v0.8.1</t>
  </si>
  <si>
    <t>Arriba wykazała się najwyższą czułością, szybkością, ale też największym wykorzystaniem pamięci. Bardzo dużo pamięci potrzebuje aligner STAR, z którym działa Arriba. Tylko Arriba, InFusion i STAR-Fusion przetworzyły wszystkie próbki omówione w tej pracy bez problemów.</t>
  </si>
  <si>
    <t>Benchmark nr 3</t>
  </si>
  <si>
    <t>Sensitivity (%) = (TP/TF) * 100</t>
  </si>
  <si>
    <t>doi: 10.1038/srep21597</t>
  </si>
  <si>
    <t>Positive predictive value (PPV) (%) = (TP/TP+FP) * 100</t>
  </si>
  <si>
    <t>Rodzaj dancyh</t>
  </si>
  <si>
    <t>The NCBI accession numbers of all six runs are SRR1657556, SRR1657557, SRR1657558, SRR1657559, SRR1657560 and SRR1657561 respectively. Prior to analysis, we filtered the raw reads with the NGS QC toolkit43. Finally, totals of 62,117,396 (i.e. SRR1657556), 58,060,054 (i.e. SRR1657557), 7,444,600 (i.e. SRR1657558), 7,463,410 (i.e. SRR1657559), 7,294,844 (i.e. SRR1657560) and 7,291,426 (i.e. SRR1657561) high quality, vector/adaptor filtered, paired-end reads were used for this study. We called “larger data” to SRR1657556 (100nt read length) and SRR1657557 (100nt read length) runs and “smaller data” to SRR1657558 (50nt read length), SRR1657559 (50nt read length), SRR1657560 (50nt read length) and SRR1657561 (50nt read length) runs.</t>
  </si>
  <si>
    <t>TP: - True positive. Correctly identified fusions.</t>
  </si>
  <si>
    <t>symulowane MIX</t>
  </si>
  <si>
    <t>real / 44 potwierdzone fuzje</t>
  </si>
  <si>
    <t>TF: - Total fusions.</t>
  </si>
  <si>
    <t>Bellerophontes</t>
  </si>
  <si>
    <t>nie wyróżnia się</t>
  </si>
  <si>
    <t xml:space="preserve"> czas i pamięć całkiem ok</t>
  </si>
  <si>
    <t>FP: - False positive.</t>
  </si>
  <si>
    <t>BreakFusion</t>
  </si>
  <si>
    <t>błąd</t>
  </si>
  <si>
    <t>5 na 44 fuzje</t>
  </si>
  <si>
    <t>Chimerascan</t>
  </si>
  <si>
    <t>31 na 44 fuzje</t>
  </si>
  <si>
    <t xml:space="preserve"> czas i pamięć całkiem ok dla real</t>
  </si>
  <si>
    <t>nFuse</t>
  </si>
  <si>
    <t>wyktrył tylko prawdziwe fuzje</t>
  </si>
  <si>
    <t>26 na 44 fuzje</t>
  </si>
  <si>
    <t>czas i pamięć całkiem ok</t>
  </si>
  <si>
    <t>3 na 44 fuzje</t>
  </si>
  <si>
    <t>czas i pamięć całkiem ok, nie działa dla PE/SE50</t>
  </si>
  <si>
    <t>FusionHunter</t>
  </si>
  <si>
    <t>nie wykrył fuzji</t>
  </si>
  <si>
    <t>9 na 44 fuzje</t>
  </si>
  <si>
    <t>FusionMap</t>
  </si>
  <si>
    <t>JAFFA</t>
  </si>
  <si>
    <t>najniższa czułość</t>
  </si>
  <si>
    <t>1 na 44 fuzje</t>
  </si>
  <si>
    <t>nie działa dla PE/SE50</t>
  </si>
  <si>
    <t>najwyższa czułość</t>
  </si>
  <si>
    <t>długi czas dla real</t>
  </si>
  <si>
    <t xml:space="preserve">SOAPfuse </t>
  </si>
  <si>
    <t>TopHat-Fusion</t>
  </si>
  <si>
    <t xml:space="preserve">EricScript miał 100% PPV w mix data, wykrył rozsądną liczbę fuzji z czułością 78%, wymaga najmniejszego zużycia czasu i pamięci. JAFFA i SOAPfuse, mają funkcje, które wydają się zapewniać im przewagę nad starszymi narzędziami, wymagają one więcej czasu i wykorzystania pamięci obliczeniowej. Czułośś, swoistość i wydajność różnią się w zależności od różnych zbiorów danych. Wydajność niektórych narzędzi zmieniała się także w zależności od długości odczytu RNA-Seq, liczby odczytów i jakości odczytów. </t>
  </si>
  <si>
    <t>Benchmark nr 4</t>
  </si>
  <si>
    <t>https://doi.org/10.3389/fgene.2021.739054</t>
  </si>
  <si>
    <t>Dokładność</t>
  </si>
  <si>
    <t>True Positive Rate</t>
  </si>
  <si>
    <t>SeekFusion (nowe, testowane)</t>
  </si>
  <si>
    <t>Supplementary Material. Requests to access the datasets should be directed to balan.jagadheshwar@mayo.edu.</t>
  </si>
  <si>
    <t>JAFFA-Hybrid</t>
  </si>
  <si>
    <t>Tophat-Fusion</t>
  </si>
  <si>
    <t>Połączenie tradycyjnego dopasowywania i podejść opartych na składaniu de novo umożliwia SeekFusion zwiększenie dokładności wykrywania fuzji w porównaniu z innymi opublikowanymi i szeroko stosowanymi algorytmami, przy jednoczesnym zachowaniu rozsądnych kosztów obliczeniowych.</t>
  </si>
  <si>
    <t>Benchmark nr 5</t>
  </si>
  <si>
    <t xml:space="preserve">DOI:10.1038/s41598-017-07070-6 </t>
  </si>
  <si>
    <t>NCBI [SRA:SRP003186], (SRA: SRR521477)</t>
  </si>
  <si>
    <t>real PE - 37 genów fuzyjnych</t>
  </si>
  <si>
    <t>real SE</t>
  </si>
  <si>
    <t>symulowane - 42 sztuczne fuzje</t>
  </si>
  <si>
    <t>GFusion (nowe, testowane)</t>
  </si>
  <si>
    <t>34, 28 z listy 37</t>
  </si>
  <si>
    <t>6 fuzji, 28 nowych</t>
  </si>
  <si>
    <t>37 na 42, 7 nowych - fałszywych</t>
  </si>
  <si>
    <t xml:space="preserve">Tophat-Fusion </t>
  </si>
  <si>
    <t>66, 30 z listy 37</t>
  </si>
  <si>
    <t>3 fuzjie, 71 nowych</t>
  </si>
  <si>
    <t>35 na 42, 50 nowych - fałszywych</t>
  </si>
  <si>
    <t xml:space="preserve">FusionMap </t>
  </si>
  <si>
    <t>26, 16 z listy 37</t>
  </si>
  <si>
    <t>5 fuzji, 221 nowych</t>
  </si>
  <si>
    <t>22 na 42, 160 nowych - fałszywych</t>
  </si>
  <si>
    <t xml:space="preserve">JAFFA </t>
  </si>
  <si>
    <t>37, 21 z listy 37</t>
  </si>
  <si>
    <t>-</t>
  </si>
  <si>
    <t>22 na 42, 77 nowych - fałszywych</t>
  </si>
  <si>
    <t xml:space="preserve">ChimPipe </t>
  </si>
  <si>
    <t>38, 30 z listy 37</t>
  </si>
  <si>
    <t>9 na 42, 13 nowych - fałszywych</t>
  </si>
  <si>
    <t>GFusion zapewnia wyższą czułość i znacznie niższy odsetek wyników fałszywie dodatnich w porównaniu z innymi istniejącymi metodami wykrywania fuzji.</t>
  </si>
  <si>
    <t>Benchmark nr 6</t>
  </si>
  <si>
    <t>Melanoma dataset</t>
  </si>
  <si>
    <t>(501-MEL, M000216, M000921, M010403, M980409 and M990802)</t>
  </si>
  <si>
    <t>https://doi.org/10.1186/s12864-018-5156-1</t>
  </si>
  <si>
    <t>Breast-cancer dataset</t>
  </si>
  <si>
    <t>(BT-474, SK-BR-3, KPL-4 and MCF-7)</t>
  </si>
  <si>
    <t>Rodzaj danych TP / TOTAL</t>
  </si>
  <si>
    <t>glioma: (SRA accession SRP027383): SRR934744, SRR934746, SRR934774, SRR934868, SRR934871, SRR934875, SRR934887, SRR934902, SRR934915, SRR934918, SRR934929, SRR934930, SRR934947.</t>
  </si>
  <si>
    <t>Synthetic</t>
  </si>
  <si>
    <t>COLO-829 </t>
  </si>
  <si>
    <t>Breast cancer (TP27)</t>
  </si>
  <si>
    <t>Breast cancer (TP99)</t>
  </si>
  <si>
    <t>Melanoma(11)</t>
  </si>
  <si>
    <t>Glioma(31)</t>
  </si>
  <si>
    <t>FuSeq</t>
  </si>
  <si>
    <t>22 na 53</t>
  </si>
  <si>
    <t>7 na 21</t>
  </si>
  <si>
    <t>29 na 188</t>
  </si>
  <si>
    <t>12 na 47</t>
  </si>
  <si>
    <t>22 na 47</t>
  </si>
  <si>
    <t>3 na 19</t>
  </si>
  <si>
    <t>29 na 191</t>
  </si>
  <si>
    <t>TRUP</t>
  </si>
  <si>
    <t>20 na 209</t>
  </si>
  <si>
    <t>24 na 261</t>
  </si>
  <si>
    <t>35 na 261</t>
  </si>
  <si>
    <t>4 na 29</t>
  </si>
  <si>
    <t>29 na 308</t>
  </si>
  <si>
    <t>SOAPfuse</t>
  </si>
  <si>
    <t>24 na 61</t>
  </si>
  <si>
    <t>41 na 61</t>
  </si>
  <si>
    <t>10 na 108</t>
  </si>
  <si>
    <t>22 na 299</t>
  </si>
  <si>
    <t>20 na 42</t>
  </si>
  <si>
    <t>28 na 42</t>
  </si>
  <si>
    <t>2 na 4</t>
  </si>
  <si>
    <t>30 na 904</t>
  </si>
  <si>
    <t>FuSeq dobrze wypada w porównaniu z TopHat-Fusion, SOAPfuse i JAFFA pod względem czułości, swoistości i wyniku F1. FuSeq również znacznie skraca czas obliczeń w porównaniu z innymi metodami wykrywania fuzji.</t>
  </si>
  <si>
    <t>Benchmark nr 7</t>
  </si>
  <si>
    <t>https://doi.org/10.1080/15476286.2021.1940047</t>
  </si>
  <si>
    <t>InFusion simulated dataset - 80 fuzji</t>
  </si>
  <si>
    <t>ChimPipe simulated dataset -250 fuzji</t>
  </si>
  <si>
    <t xml:space="preserve">Qin et al. real dataset 62 fuzje potwierdzone eksperymentalnie </t>
  </si>
  <si>
    <t>the Edgren real dataset 27 fuzji</t>
  </si>
  <si>
    <t>the Edgren real dataset 99 fuzji</t>
  </si>
  <si>
    <t>Okonechnikov K, Imai-Matsushima A, Paul L, et al. InFusion: advancing discovery of fusion genes and chimeric transcripts from deep RNA-sequencing data. PLoS One. 2016;11(12):e0167417. </t>
  </si>
  <si>
    <t>https://bitbucket.org/kokonech/infusion/downloads/InFusion_test_dataset_02.tar.gz</t>
  </si>
  <si>
    <t>83.8</t>
  </si>
  <si>
    <t>82.8–84.4%)</t>
  </si>
  <si>
    <t>81.5</t>
  </si>
  <si>
    <t>45.5</t>
  </si>
  <si>
    <t>Rodríguez-Martín B, Palumbo E, Marco-Sola S, et al. ChimPipe: accurate detection of fusion genes and transcription-induced chimeras from RNA-seq data. BMC Genomics. 2017;18(1):7. </t>
  </si>
  <si>
    <t>No fusion predicted</t>
  </si>
  <si>
    <t>46.8</t>
  </si>
  <si>
    <t>77.8</t>
  </si>
  <si>
    <t>35.4</t>
  </si>
  <si>
    <t>Qin F, Song Z, Babiceanu M, et al. Discovery of CTCF-sensitive Cis-spliced fusion RNAs between adjacent genes in human prostate cells. PLoS Genetics. 2015;11(2):e1005001.</t>
  </si>
  <si>
    <t>InFusion</t>
  </si>
  <si>
    <t>69.1</t>
  </si>
  <si>
    <t>70.4</t>
  </si>
  <si>
    <t>SRR1657556 and SRR1657557</t>
  </si>
  <si>
    <t>pizzly</t>
  </si>
  <si>
    <t>54.4</t>
  </si>
  <si>
    <t>32.3</t>
  </si>
  <si>
    <t>74.1</t>
  </si>
  <si>
    <t>41.4</t>
  </si>
  <si>
    <t>Edgren H, Murumagi A, Kangaspeska S, et al. Identification of fusion genes in breast cancer by paired-end RNA-sequencing. Genome Biology. 2011;12(1):R6. </t>
  </si>
  <si>
    <t>79.4</t>
  </si>
  <si>
    <t>SRR064286, SRR064287, SRR064438, SRR064439, SRR064440, SRR064441</t>
  </si>
  <si>
    <t>61.8</t>
  </si>
  <si>
    <t>40.3</t>
  </si>
  <si>
    <t>59.3</t>
  </si>
  <si>
    <t>64.7</t>
  </si>
  <si>
    <t>33.9</t>
  </si>
  <si>
    <t>38.2</t>
  </si>
  <si>
    <t>88.2</t>
  </si>
  <si>
    <t>54.8</t>
  </si>
  <si>
    <t>85.2</t>
  </si>
  <si>
    <t>55.9</t>
  </si>
  <si>
    <t>90.4–93.2%</t>
  </si>
  <si>
    <t>72.6</t>
  </si>
  <si>
    <t>35.3</t>
  </si>
  <si>
    <t>66.7</t>
  </si>
  <si>
    <t>73.5</t>
  </si>
  <si>
    <t>67.7</t>
  </si>
  <si>
    <t>36.4</t>
  </si>
  <si>
    <t>39.7</t>
  </si>
  <si>
    <t>44.4</t>
  </si>
  <si>
    <t>INTEGRATE</t>
  </si>
  <si>
    <t>76.5</t>
  </si>
  <si>
    <t>ChimeRScope</t>
  </si>
  <si>
    <t>All tools combined</t>
  </si>
  <si>
    <t>94.1</t>
  </si>
  <si>
    <t>93.5</t>
  </si>
  <si>
    <t>88.9</t>
  </si>
  <si>
    <t>61.6</t>
  </si>
  <si>
    <t>Qin data: TOPSIS analysis using following weights: sensitivity = 0.40, PPV = 0.40, time = 0.15, and memory = 0.05. In this situation, the top performing methods were Arriba &gt; SOAPfuse &gt; pizzly &gt; MapSplic; Edgren99 data: TOPSIS analysis with  weights yielded the following top performing methods STAR-Fusion &gt; FusionCatcher &gt; FuSeq &gt; INTEGRATE</t>
  </si>
  <si>
    <t>Benchmark nr 8</t>
  </si>
  <si>
    <t>https://doi.org/10.1093/bioinformatics/btab249</t>
  </si>
  <si>
    <t>DREAM</t>
  </si>
  <si>
    <t>sim50</t>
  </si>
  <si>
    <t>sim101</t>
  </si>
  <si>
    <t>BRCA</t>
  </si>
  <si>
    <t>melanoma + CML</t>
  </si>
  <si>
    <t>NTRK</t>
  </si>
  <si>
    <t xml:space="preserve">deFuse </t>
  </si>
  <si>
    <t>STAR-SEQR</t>
  </si>
  <si>
    <t>MetaFusion</t>
  </si>
  <si>
    <t>MetaFusion_top3 (STAR-SEQR, Arriba and STAR-Fusion)</t>
  </si>
  <si>
    <t>Benchmark nr 9</t>
  </si>
  <si>
    <t>https://doi.org/10.1101%2Fgr.186114.114</t>
  </si>
  <si>
    <t>INTEGRATE C</t>
  </si>
  <si>
    <t>INTEGRATE G</t>
  </si>
  <si>
    <t>INTEGRATE T</t>
  </si>
  <si>
    <t>INTEGRATE S</t>
  </si>
  <si>
    <t>pyPRADA</t>
  </si>
  <si>
    <t>Comrad</t>
  </si>
  <si>
    <t>BreakTrans</t>
  </si>
  <si>
    <t>Benchmark nr 10</t>
  </si>
  <si>
    <t>https://doi.org/10.1186/s13073-015-0167-x</t>
  </si>
  <si>
    <t xml:space="preserve">TopHat-Fusion 2.0.13 </t>
  </si>
  <si>
    <t>DeFuse 0.6.2</t>
  </si>
  <si>
    <t>SOAPfuse 1.26</t>
  </si>
  <si>
    <t>FusionCatcher 0.99.3d</t>
  </si>
  <si>
    <t>B+A1:O373enchmark</t>
  </si>
  <si>
    <t>Doi</t>
  </si>
  <si>
    <t>Dataset</t>
  </si>
  <si>
    <t>Type of dataset</t>
  </si>
  <si>
    <t>Run</t>
  </si>
  <si>
    <t>Tool</t>
  </si>
  <si>
    <t>Version</t>
  </si>
  <si>
    <t>TP</t>
  </si>
  <si>
    <t>FP</t>
  </si>
  <si>
    <t>TP+FP</t>
  </si>
  <si>
    <t>PP</t>
  </si>
  <si>
    <t>Recall/Sensitivity</t>
  </si>
  <si>
    <t>Precision</t>
  </si>
  <si>
    <t>F1</t>
  </si>
  <si>
    <t>Execution time (per run) [h]</t>
  </si>
  <si>
    <t>Memory usage (per sample)</t>
  </si>
  <si>
    <t>Time ranking in the set</t>
  </si>
  <si>
    <t>FN</t>
  </si>
  <si>
    <t>Dataset1.1</t>
  </si>
  <si>
    <t>simulated</t>
  </si>
  <si>
    <t>ARRIBA</t>
  </si>
  <si>
    <t xml:space="preserve">STAR-Fusion </t>
  </si>
  <si>
    <t>JAFFA-Direct</t>
  </si>
  <si>
    <t>PIZZLY</t>
  </si>
  <si>
    <t>ARRIBA_hc</t>
  </si>
  <si>
    <t>FUSIONCATCHER</t>
  </si>
  <si>
    <t>STARCHIP</t>
  </si>
  <si>
    <t>SOAP-fuse</t>
  </si>
  <si>
    <t>JAFFA-Assembly</t>
  </si>
  <si>
    <t>PRADA</t>
  </si>
  <si>
    <t>Dataset1.2</t>
  </si>
  <si>
    <t>run4</t>
  </si>
  <si>
    <t>Dataset1.3</t>
  </si>
  <si>
    <t>real</t>
  </si>
  <si>
    <t> v1.5 kickstart</t>
  </si>
  <si>
    <t>doi.org/10.1186/s13059-019-1842-9</t>
  </si>
  <si>
    <t>1.1.0.</t>
  </si>
  <si>
    <t>0.37.3</t>
  </si>
  <si>
    <t>May012019</t>
  </si>
  <si>
    <t>v0.6.7.</t>
  </si>
  <si>
    <t> v1.5</t>
  </si>
  <si>
    <t>V0994e</t>
  </si>
  <si>
    <t>v1.10</t>
  </si>
  <si>
    <t>0.5.3</t>
  </si>
  <si>
    <t>0.2.1</t>
  </si>
  <si>
    <t>v1.4</t>
  </si>
  <si>
    <t>v1.2</t>
  </si>
  <si>
    <t>v1.06</t>
  </si>
  <si>
    <t>0.6.1</t>
  </si>
  <si>
    <t>0.9.5</t>
  </si>
  <si>
    <t>v1.26</t>
  </si>
  <si>
    <t>2.0.10</t>
  </si>
  <si>
    <t>0.4.5</t>
  </si>
  <si>
    <t>v2.2.0</t>
  </si>
  <si>
    <t>v0.2.0</t>
  </si>
  <si>
    <t>FusionInspector</t>
  </si>
  <si>
    <t>Dataset2.1</t>
  </si>
  <si>
    <t xml:space="preserve">Arriba </t>
  </si>
  <si>
    <t>v1.00</t>
  </si>
  <si>
    <t>v1.4.0</t>
  </si>
  <si>
    <t xml:space="preserve">FusionCatcher </t>
  </si>
  <si>
    <t xml:space="preserve">defuse </t>
  </si>
  <si>
    <t>v0.8.1</t>
  </si>
  <si>
    <t>v0.8</t>
  </si>
  <si>
    <t>v1.27</t>
  </si>
  <si>
    <t>Dataset2.2</t>
  </si>
  <si>
    <t>spike-in</t>
  </si>
  <si>
    <t>Dataset2.3</t>
  </si>
  <si>
    <t>real (cells)</t>
  </si>
  <si>
    <t>run 5</t>
  </si>
  <si>
    <t>Dataset2.4</t>
  </si>
  <si>
    <t>Dataset2.5</t>
  </si>
  <si>
    <t>Dataset3.1B</t>
  </si>
  <si>
    <t>run 1</t>
  </si>
  <si>
    <t>2015-03-31 version</t>
  </si>
  <si>
    <t>0.5.1</t>
  </si>
  <si>
    <t>v0.99.4c</t>
  </si>
  <si>
    <t>0.4.5 </t>
  </si>
  <si>
    <t> 0.2.1.</t>
  </si>
  <si>
    <t>2.1.0.</t>
  </si>
  <si>
    <t>v2.1.9</t>
  </si>
  <si>
    <t>0.4.0.</t>
  </si>
  <si>
    <t>Dataset3.2</t>
  </si>
  <si>
    <t>Dataset4.1</t>
  </si>
  <si>
    <t>run 7</t>
  </si>
  <si>
    <t>SeekFusion</t>
  </si>
  <si>
    <t>v1.09</t>
  </si>
  <si>
    <t>Dataset5.1</t>
  </si>
  <si>
    <t>Gfusion</t>
  </si>
  <si>
    <t>Dataset5.2</t>
  </si>
  <si>
    <t>Dataset5.3</t>
  </si>
  <si>
    <t>Dataset6.1</t>
  </si>
  <si>
    <t>run 3</t>
  </si>
  <si>
    <t>Dataset6.2</t>
  </si>
  <si>
    <t>Dataset6.3</t>
  </si>
  <si>
    <t>Dataset6.4</t>
  </si>
  <si>
    <t>run 8</t>
  </si>
  <si>
    <t>Dataset7.1</t>
  </si>
  <si>
    <t>Dataset7.2</t>
  </si>
  <si>
    <t>Dataset7.3</t>
  </si>
  <si>
    <t>Dataset7.4</t>
  </si>
  <si>
    <t>Dataset7.5</t>
  </si>
  <si>
    <t>Dataset7.6</t>
  </si>
  <si>
    <t>Dataset7.7</t>
  </si>
  <si>
    <t>Dataset8.1</t>
  </si>
  <si>
    <t>MetaFusion.top_3</t>
  </si>
  <si>
    <t>Dataset8.2</t>
  </si>
  <si>
    <t>run 4</t>
  </si>
  <si>
    <t>Dataset8.6</t>
  </si>
  <si>
    <t>run 2 tylko sim45</t>
  </si>
  <si>
    <t>Dataset8.3</t>
  </si>
  <si>
    <t>Dataset8.4</t>
  </si>
  <si>
    <t>run 6</t>
  </si>
  <si>
    <t>Dataset8.7</t>
  </si>
  <si>
    <t>Dataset9</t>
  </si>
  <si>
    <t>Dataset10.1</t>
  </si>
  <si>
    <t>JAFFA - Hybrid</t>
  </si>
  <si>
    <t>JAFFA - Assembly</t>
  </si>
  <si>
    <t>JAFFA - Direct</t>
  </si>
  <si>
    <t>Dataset10.2</t>
  </si>
  <si>
    <t>Benchmark</t>
  </si>
  <si>
    <t>#DIV/0!</t>
  </si>
  <si>
    <t>Dataset number</t>
  </si>
  <si>
    <t>Dataset type</t>
  </si>
  <si>
    <t>Number of sets/samples</t>
  </si>
  <si>
    <t>Number of reads</t>
  </si>
  <si>
    <t>Number of fusions/sample</t>
  </si>
  <si>
    <t>SE/PE</t>
  </si>
  <si>
    <t>Read lenght</t>
  </si>
  <si>
    <t>PE</t>
  </si>
  <si>
    <t>https://github.com/fusiontranscripts/FusionBenchmarking</t>
  </si>
  <si>
    <t>spike-in of synthetic fusion</t>
  </si>
  <si>
    <t>SRR1548811</t>
  </si>
  <si>
    <t>SRR534293</t>
  </si>
  <si>
    <t>Edgren + Lin + Encode</t>
  </si>
  <si>
    <t>ICGC-EOPC</t>
  </si>
  <si>
    <t>TGCA-DLBC</t>
  </si>
  <si>
    <t>Dataset3.1A</t>
  </si>
  <si>
    <t>SRR1657558, SRR1657559, SRR1657560 and SRR165761</t>
  </si>
  <si>
    <t>https://doi.org/10.1093/bioinformatics/btr310</t>
  </si>
  <si>
    <t>three breast cancer cell lines BT474, SKBR3, MCF7 and a normal breast cell line [SRA:SRP003186]</t>
  </si>
  <si>
    <t>SE</t>
  </si>
  <si>
    <t>Levin, J. Z. et al. Targeted next-generation sequencing of a cancer transcriptome enhances detection of sequence variants and novel fusion transcripts. Genome biology 10, R115 (2009).</t>
  </si>
  <si>
    <t>SRA: SRR521477</t>
  </si>
  <si>
    <t>Breast cancer (P27)</t>
  </si>
  <si>
    <t>BT-474, SK-BR-3, KPL-4 and MCF-7</t>
  </si>
  <si>
    <t>w pierwszej publikacji odkyto 27 fuzji, potem 99</t>
  </si>
  <si>
    <t>Breast cancer (P99)</t>
  </si>
  <si>
    <t>https://doi.org/10.1186/gb-2011-12-1-r6</t>
  </si>
  <si>
    <t>Melanoma (P11)</t>
  </si>
  <si>
    <t>https://doi.org/10.1101/gr.103697.109</t>
  </si>
  <si>
    <t>Glioma (P31)</t>
  </si>
  <si>
    <t>SRA accession SRP027383</t>
  </si>
  <si>
    <t>InFusion simulated dataset (P80)</t>
  </si>
  <si>
    <t>ChimPipe simulated dataset (P250) PE50</t>
  </si>
  <si>
    <t>Rodríguez-Martín B, Palumbo E, Marco-Sola S, et al. ChimPipe: accurate detection of fusion genes and transcription-induced chimeras from RNA-seq data. BMC Genomics. 2017;18(1):7.</t>
  </si>
  <si>
    <t>ChimPipe simulated dataset (P250) PE76</t>
  </si>
  <si>
    <t>ChimPipe simulated dataset (P250) PE101</t>
  </si>
  <si>
    <t xml:space="preserve">Qin et al. real dataset (P62) </t>
  </si>
  <si>
    <t>human prostate cancer cells (LNCaP)</t>
  </si>
  <si>
    <t>(SRR1657556 and SRR1657557)</t>
  </si>
  <si>
    <t>the Edgren real dataset (P27)</t>
  </si>
  <si>
    <t>breast cancer cell lines (SRR064286 from MCF-7, SRR064287 from KPL-4, SRR064438 and SRR064439 from BT-474, SRR064440 and SRR064441 from SKBR3 cell lines)</t>
  </si>
  <si>
    <t>the Edgren real dataset (P99)</t>
  </si>
  <si>
    <t>https://data.broadinstitute.org/Trinity/CTAT_FUSIONTRANS_BENCHMARKING/on_simulated_data/sim_50/reads/</t>
  </si>
  <si>
    <t>https://data.broadinstitute.org/Trinity/CTAT_FUSIONTRANS_BENCHMARKING/on_simulated_data/sim_101/reads/</t>
  </si>
  <si>
    <t>https://data.broadinstitute.org/Trinity/CTAT_FUSIONTRANS_BENCHMARKING/on_cancer_cell_lines/reads/</t>
  </si>
  <si>
    <t xml:space="preserve">Melanoma </t>
  </si>
  <si>
    <t>SRR018259, SRR018260, SRR018261, SRR018265, SRR018266, SRR018267, SRR018268, SRR018269</t>
  </si>
  <si>
    <t>Dataset8.5A</t>
  </si>
  <si>
    <t>Prostate</t>
  </si>
  <si>
    <t>Dataset8.5B</t>
  </si>
  <si>
    <t>SRR1657556 si-/Negtive control_5236</t>
  </si>
  <si>
    <t>SRR1657557 siCTCF_5237</t>
  </si>
  <si>
    <t>SRR1657558 si-/Negtive control-Rep1_3899</t>
  </si>
  <si>
    <t>SRR1657559 siCTCF-Rep1_3900</t>
  </si>
  <si>
    <t>SRR1657560 si-/Negtive control-Rep2_4899</t>
  </si>
  <si>
    <t>SRR1657561 siCTCF-Rep2_4900\</t>
  </si>
  <si>
    <t>https://figshare.com/articles/dataset/FASTQ_DREAM_SMC-RNA_Challenge_smc_rna_sim45/12954488</t>
  </si>
  <si>
    <t>15 NTRK fusions with GM24385 human genomic RNA as background (trusight)</t>
  </si>
  <si>
    <t>Dataset10</t>
  </si>
  <si>
    <t>Simulated read length</t>
  </si>
  <si>
    <t>simulated read data set name</t>
  </si>
  <si>
    <t>modeled on original data</t>
  </si>
  <si>
    <t>original data source</t>
  </si>
  <si>
    <t>NCBI SRA ID </t>
  </si>
  <si>
    <t>URL </t>
  </si>
  <si>
    <t>SampleID in study </t>
  </si>
  <si>
    <t>Benchmark 5</t>
  </si>
  <si>
    <t>sim_50</t>
  </si>
  <si>
    <t>sim_adipose</t>
  </si>
  <si>
    <t>ERR030880</t>
  </si>
  <si>
    <t>ArrayExpress E-MTAB-513:ERR030880</t>
  </si>
  <si>
    <t>21386667 </t>
  </si>
  <si>
    <t>https//www.ncbi.nlm.nih.gov/sra/21386667 </t>
  </si>
  <si>
    <t>pos_S1_KIAA1549fusionBRAF </t>
  </si>
  <si>
    <t>sim_brain</t>
  </si>
  <si>
    <t>ERR030882</t>
  </si>
  <si>
    <t>ArrayExpress E-MTAB-513:ERR030882</t>
  </si>
  <si>
    <t>21386668 </t>
  </si>
  <si>
    <t>https//www.ncbi.nlm.nih.gov/sra/21386668 </t>
  </si>
  <si>
    <t>pos_S11_QKIfusionRAF1 </t>
  </si>
  <si>
    <t>sim_colon</t>
  </si>
  <si>
    <t>ERR030884</t>
  </si>
  <si>
    <t>ArrayExpress E-MTAB-513:ERR030884</t>
  </si>
  <si>
    <t>21386669 </t>
  </si>
  <si>
    <t>https//www.ncbi.nlm.nih.gov/sra/21386669 </t>
  </si>
  <si>
    <t>pos_S10_PDE4BfusionNTRK2 </t>
  </si>
  <si>
    <t>sim_heart</t>
  </si>
  <si>
    <t>ERR030886</t>
  </si>
  <si>
    <t>ArrayExpress E-MTAB-513:ERR030886</t>
  </si>
  <si>
    <t>21386670 </t>
  </si>
  <si>
    <t>https//www.ncbi.nlm.nih.gov/sra/21386670 </t>
  </si>
  <si>
    <t>pos_S12_NAB2fusionSTAT6 </t>
  </si>
  <si>
    <t>sim_testis</t>
  </si>
  <si>
    <t>ERR030873</t>
  </si>
  <si>
    <t>ArrayExpress E-MTAB-513:ERR030873</t>
  </si>
  <si>
    <t>21386671 </t>
  </si>
  <si>
    <t>https//www.ncbi.nlm.nih.gov/sra/21386671 </t>
  </si>
  <si>
    <t>pos_S7_MN1fusionMOB3B </t>
  </si>
  <si>
    <t>sim_101</t>
  </si>
  <si>
    <t>sim1_reads</t>
  </si>
  <si>
    <t>G27488.SNU-620.2</t>
  </si>
  <si>
    <t>CCLE:b146a903-8d81-4d13-a630-22c944087bf4</t>
  </si>
  <si>
    <t>21386672 </t>
  </si>
  <si>
    <t>https//www.ncbi.nlm.nih.gov/sra/21386672 </t>
  </si>
  <si>
    <t>pos_S6_FGFR3fusionTACC3 </t>
  </si>
  <si>
    <t>sim2_reads</t>
  </si>
  <si>
    <t>G28535.OVTOKO</t>
  </si>
  <si>
    <t>CCLE:24799388-008d-4011-a181-f4b2070b8bb0</t>
  </si>
  <si>
    <t>21386673 </t>
  </si>
  <si>
    <t>https//www.ncbi.nlm.nih.gov/sra/21386673 </t>
  </si>
  <si>
    <t>pos_S4_EWSR1fusionFLI1 </t>
  </si>
  <si>
    <t>sim3_reads</t>
  </si>
  <si>
    <t>G25214.MKN7</t>
  </si>
  <si>
    <t>CCLE:23056430-2489-4922-ac0b-299b7f43e74e</t>
  </si>
  <si>
    <t>21386674 </t>
  </si>
  <si>
    <t>https//www.ncbi.nlm.nih.gov/sra/21386674 </t>
  </si>
  <si>
    <t>pos_S2_EGFRfusionSEPT14 </t>
  </si>
  <si>
    <t>sim4_reads</t>
  </si>
  <si>
    <t>G30608.SW_780</t>
  </si>
  <si>
    <t>CCLE:a3e56efd-459e-44a2-be92-1abf59ee7ff3</t>
  </si>
  <si>
    <t>21386675 </t>
  </si>
  <si>
    <t>https//www.ncbi.nlm.nih.gov/sra/21386675 </t>
  </si>
  <si>
    <t>pos_S3_EGFR1fusionEGFR8 </t>
  </si>
  <si>
    <t>sim5_reads</t>
  </si>
  <si>
    <t>G27376.COLO_792.1</t>
  </si>
  <si>
    <t>CCLE:5c9df572-dd10-420f-980a-17ae004dfc08</t>
  </si>
  <si>
    <t>21386676 </t>
  </si>
  <si>
    <t>https//www.ncbi.nlm.nih.gov/sra/21386676 </t>
  </si>
  <si>
    <t>pos_S9_C11ORF95fusionRELA </t>
  </si>
  <si>
    <t>Cancer cell line</t>
  </si>
  <si>
    <t>Cancer type</t>
  </si>
  <si>
    <t>Data source</t>
  </si>
  <si>
    <t>accession or analysis_id</t>
  </si>
  <si>
    <t>21386677 </t>
  </si>
  <si>
    <t>https//www.ncbi.nlm.nih.gov/sra/21386677 </t>
  </si>
  <si>
    <t>pos_S5_BRAFfusionFAM131B </t>
  </si>
  <si>
    <t>BT474</t>
  </si>
  <si>
    <t>breast</t>
  </si>
  <si>
    <t>SRA</t>
  </si>
  <si>
    <t xml:space="preserve">SRP003186 </t>
  </si>
  <si>
    <t>21386678 </t>
  </si>
  <si>
    <t>https//www.ncbi.nlm.nih.gov/sra/21386678 </t>
  </si>
  <si>
    <t>pos_S13_POSITIVEfusionCONTROL </t>
  </si>
  <si>
    <t>G20476.DMS_454.2</t>
  </si>
  <si>
    <t>lung</t>
  </si>
  <si>
    <t>CCLE</t>
  </si>
  <si>
    <t>1d3e9dae-b558-4187-b8a0-e79b2b307f3f</t>
  </si>
  <si>
    <t>21386679 </t>
  </si>
  <si>
    <t>https//www.ncbi.nlm.nih.gov/sra/21386679 </t>
  </si>
  <si>
    <t>pos_S8_SRGAP3fusionRAF1 </t>
  </si>
  <si>
    <t>G20495.786-O.2</t>
  </si>
  <si>
    <t>kidney</t>
  </si>
  <si>
    <t>166efd97-7b71-4089-be92-d8d006f86c3b</t>
  </si>
  <si>
    <t>21386680 </t>
  </si>
  <si>
    <t>https//www.ncbi.nlm.nih.gov/sra/21386680 </t>
  </si>
  <si>
    <t>pos_S14_Insilico </t>
  </si>
  <si>
    <t>G20498.KYSE-180.2</t>
  </si>
  <si>
    <t>head-neck</t>
  </si>
  <si>
    <t>a1c5e568-4169-48fe-9d84-7a70d61ceea0</t>
  </si>
  <si>
    <t>21386681 </t>
  </si>
  <si>
    <t>https//www.ncbi.nlm.nih.gov/sra/21386681 </t>
  </si>
  <si>
    <t>neg_S1_sample1 </t>
  </si>
  <si>
    <t>G20500.IGR-37.2</t>
  </si>
  <si>
    <t>skin</t>
  </si>
  <si>
    <t>1138456d-ecc5-45f4-a169-9ba373d5d71a</t>
  </si>
  <si>
    <t>21386682 </t>
  </si>
  <si>
    <t>https//www.ncbi.nlm.nih.gov/sra/21386682 </t>
  </si>
  <si>
    <t>neg_S2_sample2 </t>
  </si>
  <si>
    <t>G25214.MKN7.1</t>
  </si>
  <si>
    <t>stomach</t>
  </si>
  <si>
    <t>23056430-2489-4922-ac0b-299b7f43e74e</t>
  </si>
  <si>
    <t>21386683 </t>
  </si>
  <si>
    <t>https//www.ncbi.nlm.nih.gov/sra/21386683 </t>
  </si>
  <si>
    <t>neg_S3_sample3 </t>
  </si>
  <si>
    <t>G25225.NCI-H522.1</t>
  </si>
  <si>
    <t>9da8f1f7-d606-4fe8-ab14-c9fe2a4b7afc</t>
  </si>
  <si>
    <t>21386684 </t>
  </si>
  <si>
    <t>https//www.ncbi.nlm.nih.gov/sra/21386684 </t>
  </si>
  <si>
    <t>neg_S4_sample4 </t>
  </si>
  <si>
    <t>G26175.A172.2</t>
  </si>
  <si>
    <t>brain</t>
  </si>
  <si>
    <t>0534dd1a-0287-484d-939f-b2e5f37688c3</t>
  </si>
  <si>
    <t>21386685 </t>
  </si>
  <si>
    <t>https//www.ncbi.nlm.nih.gov/sra/21386685 </t>
  </si>
  <si>
    <t>neg_S5_sample5 </t>
  </si>
  <si>
    <t>G26182.KMS-12-BM.2</t>
  </si>
  <si>
    <t>lymphoid</t>
  </si>
  <si>
    <t>04778047-db4d-4b8c-b77c-b910fa8c9e12</t>
  </si>
  <si>
    <t>21386686 </t>
  </si>
  <si>
    <t>https//www.ncbi.nlm.nih.gov/sra/21386686 </t>
  </si>
  <si>
    <t>neg_S6_sample6 </t>
  </si>
  <si>
    <t>G26199.LN-229.2</t>
  </si>
  <si>
    <t>2dc62ec8-476f-4d4a-a51f-729673e63f80</t>
  </si>
  <si>
    <t>21386687 </t>
  </si>
  <si>
    <t>https//www.ncbi.nlm.nih.gov/sra/21386687 </t>
  </si>
  <si>
    <t>neg_S7_sample7 </t>
  </si>
  <si>
    <t>G26212.A-673.2</t>
  </si>
  <si>
    <t>sarcomatoid</t>
  </si>
  <si>
    <t>ed412801-81e9-4777-942a-95079b7044e1</t>
  </si>
  <si>
    <t>21386688 </t>
  </si>
  <si>
    <t>https//www.ncbi.nlm.nih.gov/sra/21386688 </t>
  </si>
  <si>
    <t>neg_S8_sample8 </t>
  </si>
  <si>
    <t>G26216.KP-2.2</t>
  </si>
  <si>
    <t>pancreas</t>
  </si>
  <si>
    <t>77c15c63-b42f-4194-a346-6e8bf98ac23b</t>
  </si>
  <si>
    <t>21386689 </t>
  </si>
  <si>
    <t>https//www.ncbi.nlm.nih.gov/sra/21386689 </t>
  </si>
  <si>
    <t>neg_S9_sample9 </t>
  </si>
  <si>
    <t>G26228.Hs_683.2</t>
  </si>
  <si>
    <t>6af225a0-fcc0-471b-838f-2bf1c0ded8d3</t>
  </si>
  <si>
    <t>G26236.NCI-H716.2</t>
  </si>
  <si>
    <t>colo-rectal</t>
  </si>
  <si>
    <t>95e1c652-a7f2-41f6-9a30-503b8c7c37a5</t>
  </si>
  <si>
    <t>G26249.KMS-26.2</t>
  </si>
  <si>
    <t>d54514e6-1825-46cd-a394-53886430033d</t>
  </si>
  <si>
    <t>G26253.KMS-34.2</t>
  </si>
  <si>
    <t>905fffad-e784-47b7-a617-6df5ec7e604c</t>
  </si>
  <si>
    <t>G26262.NCI-H889.2</t>
  </si>
  <si>
    <t>a3e91ee2-aa54-4acf-8eb2-45d795ec5188</t>
  </si>
  <si>
    <t>G27214.PC-3.1</t>
  </si>
  <si>
    <t>other</t>
  </si>
  <si>
    <t>811a96a5-a7f2-4082-9044-e6972c7316a9</t>
  </si>
  <si>
    <t>G27219.Panc_03.27.1</t>
  </si>
  <si>
    <t>c5b5dba9-1eee-43ec-a097-dc72d45b20da</t>
  </si>
  <si>
    <t>G27233.A-498.1</t>
  </si>
  <si>
    <t>ce9f1b08-8a07-416a-ab43-90e011092b08</t>
  </si>
  <si>
    <t>G27259.AN3_CA.1</t>
  </si>
  <si>
    <t>uterus</t>
  </si>
  <si>
    <t>3f1b9533-8773-4ca8-8c43-98101cbba096</t>
  </si>
  <si>
    <t>G27280.TC-71.1</t>
  </si>
  <si>
    <t>04ae78b3-1f09-4d55-ac56-8600d73ed8a5</t>
  </si>
  <si>
    <t>G27367.BFTC-909.1</t>
  </si>
  <si>
    <t>1c5f708f-252b-49d0-b16d-78d5a5344e7d</t>
  </si>
  <si>
    <t>5c9df572-dd10-420f-980a-17ae004dfc08</t>
  </si>
  <si>
    <t>G27453.SNU-398.2</t>
  </si>
  <si>
    <t>liver</t>
  </si>
  <si>
    <t>15ea12f5-1702-48d7-8cd0-98659cddb7e2</t>
  </si>
  <si>
    <t>G27463.SK-MEL-1.2</t>
  </si>
  <si>
    <t>8f1e5d67-c86c-4b0d-9e21-5803f7b79432</t>
  </si>
  <si>
    <t>G27476.PK-59.2</t>
  </si>
  <si>
    <t>pacreas</t>
  </si>
  <si>
    <t>3051f39a-7881-4d7b-a13b-c5395e5b4ef3</t>
  </si>
  <si>
    <t>G27479.SK-MEL-3.2</t>
  </si>
  <si>
    <t>f6870a19-fe07-4afb-95c4-204c35bfa95a</t>
  </si>
  <si>
    <t>b146a903-8d81-4d13-a630-22c944087bf4</t>
  </si>
  <si>
    <t>G27516.SK-MEL-28.2</t>
  </si>
  <si>
    <t>4a77f393-6c2f-47d7-b7e5-411982bf75a6</t>
  </si>
  <si>
    <t>G27544.SF268.2</t>
  </si>
  <si>
    <t>f399f213-694c-4463-b855-132f433df92d</t>
  </si>
  <si>
    <t>G28011.KLE.1</t>
  </si>
  <si>
    <t>f43766e8-108d-4438-89ab-75d0dbe55997</t>
  </si>
  <si>
    <t>G28034.MDA-MB-361.1</t>
  </si>
  <si>
    <t>a337c425-4314-40c6-a40a-a444781bd1b7</t>
  </si>
  <si>
    <t>G28045.KYSE-270.1</t>
  </si>
  <si>
    <t>067cb65d-b578-4dd6-95db-60f2d2ae040e</t>
  </si>
  <si>
    <t>G28050.KMM-1.1</t>
  </si>
  <si>
    <t>1bae551f-db0a-4b96-92ca-2211d0d5265b</t>
  </si>
  <si>
    <t>G28054.KYSE-520.1</t>
  </si>
  <si>
    <t>67d2c686-e66b-489f-a6b3-0ed36a56ba00</t>
  </si>
  <si>
    <t>G28070.LN-18.1</t>
  </si>
  <si>
    <t>d62d67e3-da37-4046-8be5-07d2ac93f47f</t>
  </si>
  <si>
    <t>G28072.MDA-MB-175-VII.1</t>
  </si>
  <si>
    <t>ea450165-4ec4-431f-a21b-ebdea26d9794</t>
  </si>
  <si>
    <t>G28077.MG-63.1</t>
  </si>
  <si>
    <t>8c7f184a-ddde-4510-90b6-99a9252b9128</t>
  </si>
  <si>
    <t>G28081.JHH-7.1</t>
  </si>
  <si>
    <t>b6118100-0a8c-4153-ba64-5db6e1e820fa</t>
  </si>
  <si>
    <t>G28087.MDA-MB-436.1</t>
  </si>
  <si>
    <t>cd1ad136-1e68-4f08-8341-216382301fd8</t>
  </si>
  <si>
    <t>G28535.OVTOKO.1</t>
  </si>
  <si>
    <t>ovary</t>
  </si>
  <si>
    <t>24799388-008d-4011-a181-f4b2070b8bb0</t>
  </si>
  <si>
    <t>G28545.NUGC-2.1</t>
  </si>
  <si>
    <t>7cba5a73-b8a7-46c9-8175-eeca8bd483ac</t>
  </si>
  <si>
    <t>G28575.OUMS-23.1</t>
  </si>
  <si>
    <t>75b57b0c-df5b-429b-a024-3777b6291bf0</t>
  </si>
  <si>
    <t>G28610.MHH-ES-1.1</t>
  </si>
  <si>
    <t>b1c89d5f-841b-41b6-87ac-d5407bbf8293</t>
  </si>
  <si>
    <t>G30594.UACC-893.1</t>
  </si>
  <si>
    <t>52646ad2-d86d-4fc5-ba5c-a5beeed25f39</t>
  </si>
  <si>
    <t>G30631.SU-DHL-10.1</t>
  </si>
  <si>
    <t>fe8b3333-45eb-41bc-88b8-cfc3b9666591</t>
  </si>
  <si>
    <t>G41663.OVISE.5</t>
  </si>
  <si>
    <t>2d1f25d4-7245-4a2f-bd6f-6f5b6c3e5d0d</t>
  </si>
  <si>
    <t>G41682.KYSE-510.5</t>
  </si>
  <si>
    <t>8a027ed1-8767-48a6-ae39-d4f29417c0e8</t>
  </si>
  <si>
    <t>G41706.RT4.5</t>
  </si>
  <si>
    <t>urinary bladder</t>
  </si>
  <si>
    <t>55c315f0-6c8c-4a04-86e5-fc73f35b3619</t>
  </si>
  <si>
    <t>G41709.FaDu.5</t>
  </si>
  <si>
    <t>192ac756-5175-4acd-92be-357cdf926d33</t>
  </si>
  <si>
    <t>G41710.SNU-16.5</t>
  </si>
  <si>
    <t>becae7d6-fdb7-4f63-8947-40b799a8d544</t>
  </si>
  <si>
    <t>G41724.HGC-27.5</t>
  </si>
  <si>
    <t>f1faef0c-e58c-4eb3-9e3b-e5dc3791fa14</t>
  </si>
  <si>
    <t>H2228</t>
  </si>
  <si>
    <t>DRR016705</t>
  </si>
  <si>
    <t>K562</t>
  </si>
  <si>
    <t>SRR521460</t>
  </si>
  <si>
    <t>KPL4</t>
  </si>
  <si>
    <t>LC2Ad</t>
  </si>
  <si>
    <t>DRR016709</t>
  </si>
  <si>
    <t>MCF7</t>
  </si>
  <si>
    <t>SKBR3</t>
  </si>
  <si>
    <t>VCaP_85</t>
  </si>
  <si>
    <t>prostate</t>
  </si>
  <si>
    <t>SRR1217085</t>
  </si>
  <si>
    <t>Source</t>
  </si>
  <si>
    <t>Donor</t>
  </si>
  <si>
    <t>Accession number(s)</t>
  </si>
  <si>
    <t>Specimen</t>
  </si>
  <si>
    <t>Library</t>
  </si>
  <si>
    <t>WGS</t>
  </si>
  <si>
    <r>
      <rPr>
        <b/>
        <i/>
        <sz val="11"/>
        <color theme="0"/>
        <rFont val="Helvetica"/>
        <family val="2"/>
      </rPr>
      <t>KRAS</t>
    </r>
    <r>
      <rPr>
        <b/>
        <sz val="11"/>
        <color theme="0"/>
        <rFont val="Helvetica"/>
        <family val="2"/>
      </rPr>
      <t xml:space="preserve"> status</t>
    </r>
  </si>
  <si>
    <t>Putative driver fusion</t>
  </si>
  <si>
    <t>CCLE-PAAD</t>
  </si>
  <si>
    <t>AsPC-1</t>
  </si>
  <si>
    <t>da249431-4151-468e-91af-070f3ac5cb56</t>
  </si>
  <si>
    <t>cell line</t>
  </si>
  <si>
    <t>paired-end</t>
  </si>
  <si>
    <t>no</t>
  </si>
  <si>
    <t>G12D</t>
  </si>
  <si>
    <t>BxPC-3</t>
  </si>
  <si>
    <t>28a9fcec-6f21-4c28-b67e-e84bb8b677ec</t>
  </si>
  <si>
    <t>wt</t>
  </si>
  <si>
    <t>Capan-1</t>
  </si>
  <si>
    <t>2d12b6ee-0f07-468f-9439-d5d285aeef3d</t>
  </si>
  <si>
    <t>G12V</t>
  </si>
  <si>
    <t>Capan-2</t>
  </si>
  <si>
    <t>77a7bc07-60b5-4eab-948a-ce7eef317db3</t>
  </si>
  <si>
    <t>CFPAC-1</t>
  </si>
  <si>
    <t>9fc5da43-4f04-4bdc-a5bb-59a1ec219926</t>
  </si>
  <si>
    <t>FGFR2-COL14A1</t>
  </si>
  <si>
    <t>DAN-G</t>
  </si>
  <si>
    <t>879c59fe-d3a7-419e-bdf3-1ebe5adb8320</t>
  </si>
  <si>
    <t>HPAC</t>
  </si>
  <si>
    <t>59b5010b-df6b-4d72-9538-350c4cd6062a</t>
  </si>
  <si>
    <t>HPAF-II</t>
  </si>
  <si>
    <t>87c41362-be6c-4d5a-b8a1-e5dbd7bf9493</t>
  </si>
  <si>
    <t>Hs766T</t>
  </si>
  <si>
    <t>c910c1e7-b21f-4eed-887f-a52bab5f073b</t>
  </si>
  <si>
    <t>Q61H</t>
  </si>
  <si>
    <t>HUP-T3</t>
  </si>
  <si>
    <t>7c982878-9c7a-4964-aa27-46657b7baa83</t>
  </si>
  <si>
    <t>G12R</t>
  </si>
  <si>
    <t>HUP-T4</t>
  </si>
  <si>
    <t>6e9d00b4-a012-40b6-b342-4dcdfe389c0b</t>
  </si>
  <si>
    <t>KP-2</t>
  </si>
  <si>
    <t>b496b51a-973d-47ef-be8c-18f91ee82b9f</t>
  </si>
  <si>
    <t>KP-3</t>
  </si>
  <si>
    <t>049f0d6d-14bf-42ac-af26-65acf7f5f0e4</t>
  </si>
  <si>
    <t>KP-4</t>
  </si>
  <si>
    <t>03bf73e6-b844-449c-82ae-7417f519f4d2</t>
  </si>
  <si>
    <t>G12D, M188V</t>
  </si>
  <si>
    <t>L3.3</t>
  </si>
  <si>
    <t>d488d017-3f18-4756-ab47-331edc534526</t>
  </si>
  <si>
    <t>Mia-PaCa-2</t>
  </si>
  <si>
    <t>71ee227e-1d1f-4839-9c80-b3b60c9e632d</t>
  </si>
  <si>
    <t>G12C</t>
  </si>
  <si>
    <t>Panc02.03</t>
  </si>
  <si>
    <t>9d1499ba-1000-42e4-8d90-2fd373a95309</t>
  </si>
  <si>
    <t>Panc02.13</t>
  </si>
  <si>
    <t>19445cb9-a33d-466a-ae80-14c3d4485878</t>
  </si>
  <si>
    <t>Q61R</t>
  </si>
  <si>
    <t>Panc03.27</t>
  </si>
  <si>
    <t>ec089ef2-7109-40fd-8620-8badd76b292f</t>
  </si>
  <si>
    <t>Panc04.03</t>
  </si>
  <si>
    <t>5e3752d6-deb7-4f2a-ae9f-13e62b8099f8</t>
  </si>
  <si>
    <t>Panc05.04</t>
  </si>
  <si>
    <t>cd3f7e33-1813-44a5-b43f-0f358e7f2bd0</t>
  </si>
  <si>
    <t>Panc08.13</t>
  </si>
  <si>
    <t>2dd9e22b-77cb-42d4-830d-e19a854e3083</t>
  </si>
  <si>
    <t>Panc10.05</t>
  </si>
  <si>
    <t>1cf42378-5924-40af-aa80-85cd6f6d0173</t>
  </si>
  <si>
    <t>PANC-1</t>
  </si>
  <si>
    <t>ac5a0adb-81e0-493c-a17f-b55c72b43fa7</t>
  </si>
  <si>
    <t>PA-TU-8902</t>
  </si>
  <si>
    <t>c80a8580-8f79-4acc-aeaf-1afb145b1dbc</t>
  </si>
  <si>
    <t>PA-TU-8988S</t>
  </si>
  <si>
    <t>2a2f4666-2893-4357-a3c5-34f5523f7ac3</t>
  </si>
  <si>
    <t>PK-1</t>
  </si>
  <si>
    <t>db7f1fbe-f5cb-482f-b537-d94983600e13</t>
  </si>
  <si>
    <t>PK-45H</t>
  </si>
  <si>
    <t>8b15bc54-1ef1-43b3-a373-3000bbf4706b</t>
  </si>
  <si>
    <t>PK-59</t>
  </si>
  <si>
    <t>7139fdce-e4ec-451c-967d-a5f306e6710c</t>
  </si>
  <si>
    <t>PSN1</t>
  </si>
  <si>
    <t>7a25f112-e80d-4b3e-83e1-f6a2b8c1d827</t>
  </si>
  <si>
    <t>QGP-1</t>
  </si>
  <si>
    <t>615c0218-1c12-4f69-8eec-6c3c5fcdf87f</t>
  </si>
  <si>
    <t>SNU-213</t>
  </si>
  <si>
    <t>9168f8e9-0558-4348-ad7d-289a586d14d7</t>
  </si>
  <si>
    <t>SNU-324</t>
  </si>
  <si>
    <t>13924031-19ce-4fcb-b023-5b2e3aefdf77</t>
  </si>
  <si>
    <t>EML4-ALK</t>
  </si>
  <si>
    <t>SNU-410</t>
  </si>
  <si>
    <t>0f6d5995-ffcc-4f0f-9247-bd9b5d7db5e1</t>
  </si>
  <si>
    <t>SU.86.86</t>
  </si>
  <si>
    <t>036c14a2-c62c-4a40-827b-82a9ba54acbd</t>
  </si>
  <si>
    <t>Suit-2</t>
  </si>
  <si>
    <t>2ae92105-b8a3-44fe-a035-a27332fd96b2</t>
  </si>
  <si>
    <t>SW1990</t>
  </si>
  <si>
    <t>066c6486-1b31-4cfc-9e05-66de0b4539c3</t>
  </si>
  <si>
    <t>T3M-4</t>
  </si>
  <si>
    <t>792f86ea-1c9c-42d2-9c3a-4f1426d0c7a3</t>
  </si>
  <si>
    <t>TCC-PAN2</t>
  </si>
  <si>
    <t>986bb9ee-154e-4024-86d8-b79ba7cb07cd</t>
  </si>
  <si>
    <t>YAPC</t>
  </si>
  <si>
    <t>cd90dd34-063c-4d62-9e34-3d442de3d164</t>
  </si>
  <si>
    <t>Bryant et al.
ERP107752</t>
  </si>
  <si>
    <t>HPAF-I</t>
  </si>
  <si>
    <t>ERR2496065</t>
  </si>
  <si>
    <t>Pa01C</t>
  </si>
  <si>
    <t>ERR2496067</t>
  </si>
  <si>
    <t>Pa02C</t>
  </si>
  <si>
    <t>ERR2496068</t>
  </si>
  <si>
    <t>Pa04C</t>
  </si>
  <si>
    <t>ERR2496071</t>
  </si>
  <si>
    <t>Bhattacharyya et al.
SRP102440</t>
  </si>
  <si>
    <t>Pa07C</t>
  </si>
  <si>
    <t>SRR5376167</t>
  </si>
  <si>
    <t>single-end</t>
  </si>
  <si>
    <t>Pa08C</t>
  </si>
  <si>
    <t>SRR5376168</t>
  </si>
  <si>
    <t>Pa10C</t>
  </si>
  <si>
    <t>SRR5376166</t>
  </si>
  <si>
    <t>G12D, I187V</t>
  </si>
  <si>
    <t>Diafera et al.
SRP051606</t>
  </si>
  <si>
    <t>PT-45-P1</t>
  </si>
  <si>
    <t>SRR1736498</t>
  </si>
  <si>
    <t>G13D</t>
  </si>
  <si>
    <t>Kirby et al.
SRP072492
SRP072493</t>
  </si>
  <si>
    <t>Panc6</t>
  </si>
  <si>
    <t>SRR3308942</t>
  </si>
  <si>
    <t>T_03_11_A244a</t>
  </si>
  <si>
    <t>SRR3308890</t>
  </si>
  <si>
    <t>primary</t>
  </si>
  <si>
    <t>T_04_02_A274c</t>
  </si>
  <si>
    <t>SRR3308892</t>
  </si>
  <si>
    <t>T_04_04_A207b</t>
  </si>
  <si>
    <t>SRR3308898</t>
  </si>
  <si>
    <t>T_04_06_A027c</t>
  </si>
  <si>
    <t>SRR3308899</t>
  </si>
  <si>
    <t>T_04_12_A158b</t>
  </si>
  <si>
    <t>SRR3308900</t>
  </si>
  <si>
    <t>T_05_01_A082b</t>
  </si>
  <si>
    <t>SRR3308901</t>
  </si>
  <si>
    <t>T_05_03_A215c</t>
  </si>
  <si>
    <t>SRR3308902</t>
  </si>
  <si>
    <t>T_05_06_A121b</t>
  </si>
  <si>
    <t>SRR3308903</t>
  </si>
  <si>
    <t>T_05_08_A230b</t>
  </si>
  <si>
    <t>SRR3308904</t>
  </si>
  <si>
    <t>DNAJB1-PRKACA</t>
  </si>
  <si>
    <t>T_06_01_A033a_T</t>
  </si>
  <si>
    <t>SRR3308884</t>
  </si>
  <si>
    <t>T_06_02_A026a</t>
  </si>
  <si>
    <t>SRR3308905</t>
  </si>
  <si>
    <t>T_06_04_A296a_T</t>
  </si>
  <si>
    <t>SRR3308886</t>
  </si>
  <si>
    <t>T_06_05_A309a_3</t>
  </si>
  <si>
    <t>SRR3308906</t>
  </si>
  <si>
    <t>G12D, S181P</t>
  </si>
  <si>
    <t>T_06_06_A349a</t>
  </si>
  <si>
    <t>SRR3308888</t>
  </si>
  <si>
    <t>T_06_09_A196a_2</t>
  </si>
  <si>
    <t>SRR3308907</t>
  </si>
  <si>
    <t>T_06_11_A168a</t>
  </si>
  <si>
    <t>SRR3308885</t>
  </si>
  <si>
    <t>T_06_11_A299b</t>
  </si>
  <si>
    <t>SRR3308908</t>
  </si>
  <si>
    <t>G12S</t>
  </si>
  <si>
    <t>T_06_11_A455b</t>
  </si>
  <si>
    <t>SRR3308897</t>
  </si>
  <si>
    <t>T_07_02_A073a</t>
  </si>
  <si>
    <t>SRR3308909</t>
  </si>
  <si>
    <t>T_07_02_A181a</t>
  </si>
  <si>
    <t>SRR3308910</t>
  </si>
  <si>
    <t>T_07_02_A216a</t>
  </si>
  <si>
    <t>SRR3308911</t>
  </si>
  <si>
    <t>T_07_03_A187a</t>
  </si>
  <si>
    <t>SRR3308912</t>
  </si>
  <si>
    <t>G12D(?)</t>
  </si>
  <si>
    <t>T_07_06_A104a</t>
  </si>
  <si>
    <t>SRR3308913</t>
  </si>
  <si>
    <t>T_07_06_A323a_1</t>
  </si>
  <si>
    <t>SRR3308914</t>
  </si>
  <si>
    <t>CDH1-NRG1</t>
  </si>
  <si>
    <t>T_07_07_A082a</t>
  </si>
  <si>
    <t>SRR3308883</t>
  </si>
  <si>
    <t>T_07_08_A346a</t>
  </si>
  <si>
    <t>SRR3308896</t>
  </si>
  <si>
    <t>T_07_09_A064a</t>
  </si>
  <si>
    <t>SRR3308895</t>
  </si>
  <si>
    <t>T_07_10_A153a_1</t>
  </si>
  <si>
    <t>SRR3308915</t>
  </si>
  <si>
    <t>T_07_10_A215a</t>
  </si>
  <si>
    <t>SRR3308916</t>
  </si>
  <si>
    <t>T_07_10_A314a</t>
  </si>
  <si>
    <t>SRR3308917</t>
  </si>
  <si>
    <t>T_07_11_A090a</t>
  </si>
  <si>
    <t>SRR3308887</t>
  </si>
  <si>
    <t>PDZRN3-RAF1</t>
  </si>
  <si>
    <t>T_08_01_A194a</t>
  </si>
  <si>
    <t>SRR3308918</t>
  </si>
  <si>
    <t>T_08_02_A333a</t>
  </si>
  <si>
    <t>SRR3308919</t>
  </si>
  <si>
    <t>T_08_03_A203a</t>
  </si>
  <si>
    <t>SRR3308920</t>
  </si>
  <si>
    <t>T_08_05_A123a</t>
  </si>
  <si>
    <t>SRR3308921</t>
  </si>
  <si>
    <t>T_08_06_A060a</t>
  </si>
  <si>
    <t>SRR3308922</t>
  </si>
  <si>
    <t>T_10_10_A222aa</t>
  </si>
  <si>
    <t>SRR3308923</t>
  </si>
  <si>
    <t>T_10_11_A059a</t>
  </si>
  <si>
    <t>SRR3308891</t>
  </si>
  <si>
    <t>T_10_11_A100a</t>
  </si>
  <si>
    <t>SRR3308924</t>
  </si>
  <si>
    <t>T_10_11_A128a</t>
  </si>
  <si>
    <t>SRR3308925</t>
  </si>
  <si>
    <t>T_10_11_A130b</t>
  </si>
  <si>
    <t>SRR3308926</t>
  </si>
  <si>
    <t>E31K, Q61H</t>
  </si>
  <si>
    <t>T_10_12_A046a</t>
  </si>
  <si>
    <t>SRR3308893</t>
  </si>
  <si>
    <t>T_10_12_A057a</t>
  </si>
  <si>
    <t>SRR3308927</t>
  </si>
  <si>
    <t>T_11_02_A148a</t>
  </si>
  <si>
    <t>SRR3308928</t>
  </si>
  <si>
    <t>T_11_02_A171a_2</t>
  </si>
  <si>
    <t>SRR3308929</t>
  </si>
  <si>
    <t>T_11_03_A060a</t>
  </si>
  <si>
    <t>SRR3308894</t>
  </si>
  <si>
    <t>G12V, T144A, K182R</t>
  </si>
  <si>
    <t>T_11_03_A138a</t>
  </si>
  <si>
    <t>SRR3308889</t>
  </si>
  <si>
    <t>T_11_04_A026b</t>
  </si>
  <si>
    <t>SRR3308930</t>
  </si>
  <si>
    <t>T_11_05_A018b</t>
  </si>
  <si>
    <t>SRR3308931</t>
  </si>
  <si>
    <t>T_11_06_A011a</t>
  </si>
  <si>
    <t>SRR3308932</t>
  </si>
  <si>
    <t>A11G, G12C</t>
  </si>
  <si>
    <t>T_11_06_A104a</t>
  </si>
  <si>
    <t>SRR3308933</t>
  </si>
  <si>
    <t>Aung et al.
EGAD00001003584
EGAD00001003582</t>
  </si>
  <si>
    <t>COMP-0001</t>
  </si>
  <si>
    <t>EGAF00001725477, EGAF00001745323, EGAF00001745324</t>
  </si>
  <si>
    <t>metastasis</t>
  </si>
  <si>
    <t>yes</t>
  </si>
  <si>
    <t>COMP-0002</t>
  </si>
  <si>
    <t>EGAF00001725478, EGAF00001745325, EGAF00001745326</t>
  </si>
  <si>
    <t>PFKFB4-RAF1</t>
  </si>
  <si>
    <t>COMP-0004</t>
  </si>
  <si>
    <t>EGAF00001725479, EGAF00001745327, EGAF00001745328</t>
  </si>
  <si>
    <t>COMP-0005</t>
  </si>
  <si>
    <t>EGAF00001725480, EGAF00001745329, EGAF00001745330</t>
  </si>
  <si>
    <t>COMP-0006</t>
  </si>
  <si>
    <t>EGAF00001725481, EGAF00001745331, EGAF00001745332</t>
  </si>
  <si>
    <t>COMP-0007</t>
  </si>
  <si>
    <t>EGAF00001725482, EGAF00001745333, EGAF00001745334</t>
  </si>
  <si>
    <t>COMP-0008</t>
  </si>
  <si>
    <t>EGAF00001725483, EGAF00001745335, EGAF00001745336</t>
  </si>
  <si>
    <t>COMP-0009</t>
  </si>
  <si>
    <t>EGAF00001725485, EGAF00001745339, EGAF00001745340</t>
  </si>
  <si>
    <t>COMP-0010</t>
  </si>
  <si>
    <t>EGAF00001725484, EGAF00001745337, EGAF00001745338</t>
  </si>
  <si>
    <t>COMP-0011</t>
  </si>
  <si>
    <t>EGAF00001725486, EGAF00001745341, EGAF00001745342</t>
  </si>
  <si>
    <t>COMP-0012</t>
  </si>
  <si>
    <t>EGAF00001725487, EGAF00001745343, EGAF00001745344</t>
  </si>
  <si>
    <t>COMP-0013</t>
  </si>
  <si>
    <t>EGAF00001725488, EGAF00001745357, EGAF00001745358</t>
  </si>
  <si>
    <t>COMP-0014</t>
  </si>
  <si>
    <t>EGAF00001725476, EGAF00001745321, EGAF00001745322</t>
  </si>
  <si>
    <t>COMP-0015</t>
  </si>
  <si>
    <t>EGAF00001725489, EGAF00001745359, EGAF00001745360</t>
  </si>
  <si>
    <t>COMP-0017</t>
  </si>
  <si>
    <t>EGAF00001725490, EGAF00001745361, EGAF00001745362</t>
  </si>
  <si>
    <t>G12D, 14‑19del</t>
  </si>
  <si>
    <t>COMP-0018</t>
  </si>
  <si>
    <t>EGAF00001725491, EGAF00001745363, EGAF00001745364</t>
  </si>
  <si>
    <t>COMP-0019</t>
  </si>
  <si>
    <t>EGAF00001725492, EGAF00001745365, EGAF00001745366</t>
  </si>
  <si>
    <t>COMP-0020</t>
  </si>
  <si>
    <t>EGAF00001725493, EGAF00001745367, EGAF00001745368</t>
  </si>
  <si>
    <t>COMP-0021</t>
  </si>
  <si>
    <t>EGAF00001725494, EGAF00001745369, EGAF00001745370</t>
  </si>
  <si>
    <t>COMP-0023</t>
  </si>
  <si>
    <t>EGAF00001725495, EGAF00001745371, EGAF00001745372</t>
  </si>
  <si>
    <t>EML4-NTRK3</t>
  </si>
  <si>
    <t>COMP-0025</t>
  </si>
  <si>
    <t>EGAF00001725496, EGAF00001745373, EGAF00001745374</t>
  </si>
  <si>
    <t>COMP-0026</t>
  </si>
  <si>
    <t>EGAF00001725497, EGAF00001745375, EGAF00001745376</t>
  </si>
  <si>
    <t>COMP-0028</t>
  </si>
  <si>
    <t>EGAF00001725498, EGAF00001745377, EGAF00001745378</t>
  </si>
  <si>
    <t>ATP1B1-PRKACA</t>
  </si>
  <si>
    <t>COMP-0029</t>
  </si>
  <si>
    <t>EGAF00001725500, EGAF00001745381, EGAF00001745382</t>
  </si>
  <si>
    <t>COMP-0030</t>
  </si>
  <si>
    <t>EGAF00001725499, EGAF00001745379, EGAF00001745380</t>
  </si>
  <si>
    <t>COMP-0032</t>
  </si>
  <si>
    <t>EGAF00001725501, EGAF00001745383, EGAF00001745384</t>
  </si>
  <si>
    <t>COMP-0033</t>
  </si>
  <si>
    <t>EGAF00001725502, EGAF00001745385, EGAF00001745386</t>
  </si>
  <si>
    <t>COMP-0034</t>
  </si>
  <si>
    <t>EGAF00001725503, EGAF00001745387, EGAF00001745388</t>
  </si>
  <si>
    <t>COMP-0035</t>
  </si>
  <si>
    <t>EGAF00001725504, EGAF00001745289, EGAF00001745290</t>
  </si>
  <si>
    <t>COMP-0036</t>
  </si>
  <si>
    <t>EGAF00001725505, EGAF00001745291, EGAF00001745292</t>
  </si>
  <si>
    <t>COMP-0037</t>
  </si>
  <si>
    <t>EGAF00001725506, EGAF00001745293, EGAF00001745294</t>
  </si>
  <si>
    <t>COMP-0038</t>
  </si>
  <si>
    <t>EGAF00001725507, EGAF00001745295, EGAF00001745296</t>
  </si>
  <si>
    <t>COMP-0039</t>
  </si>
  <si>
    <t>EGAF00001725508, EGAF00001745297, EGAF00001745298</t>
  </si>
  <si>
    <t>COMP-0041</t>
  </si>
  <si>
    <t>EGAF00001725509, EGAF00001745299, EGAF00001745300</t>
  </si>
  <si>
    <t>COMP-0042</t>
  </si>
  <si>
    <t>EGAF00001725510, EGAF00001745301, EGAF00001745302</t>
  </si>
  <si>
    <t>COMP-0043</t>
  </si>
  <si>
    <t>EGAF00001725511, EGAF00001745303, EGAF00001745304</t>
  </si>
  <si>
    <t>COMP-0044</t>
  </si>
  <si>
    <t>EGAF00001725512, EGAF00001745305, EGAF00001745306</t>
  </si>
  <si>
    <t>COMP-0045</t>
  </si>
  <si>
    <t>EGAF00001725513, EGAF00001745307, EGAF00001745308</t>
  </si>
  <si>
    <t>COMP-0046</t>
  </si>
  <si>
    <t>EGAF00001725514, EGAF00001745309, EGAF00001745310</t>
  </si>
  <si>
    <t>COMP-0047</t>
  </si>
  <si>
    <t>EGAF00001725515, EGAF00001745311, EGAF00001745312</t>
  </si>
  <si>
    <t>COMP-0048</t>
  </si>
  <si>
    <t>EGAF00001725516, EGAF00001745313, EGAF00001745314</t>
  </si>
  <si>
    <t>COMP-0049</t>
  </si>
  <si>
    <t>EGAF00001725518, EGAF00001745317, EGAF00001745318</t>
  </si>
  <si>
    <t>COMP-0050</t>
  </si>
  <si>
    <t>EGAF00001725517, EGAF00001745315, EGAF00001745316</t>
  </si>
  <si>
    <t>COMP-0052</t>
  </si>
  <si>
    <t>EGAF00001725519, EGAF00001745319, EGAF00001745320</t>
  </si>
  <si>
    <t>COMP-0055</t>
  </si>
  <si>
    <t>EGAF00001725520, EGAF00001745345, EGAF00001745346</t>
  </si>
  <si>
    <t>RRBP1-RAF1</t>
  </si>
  <si>
    <t>COMP-0056</t>
  </si>
  <si>
    <t>EGAF00001725521, EGAF00001745347, EGAF00001745348</t>
  </si>
  <si>
    <t>COMP-0057</t>
  </si>
  <si>
    <t>EGAF00001725522, EGAF00001745349, EGAF00001745350</t>
  </si>
  <si>
    <t>COMP-0058-G</t>
  </si>
  <si>
    <t>EGAF00001725523, EGAF00001745351, EGAF00001745352</t>
  </si>
  <si>
    <t>COMP-0059</t>
  </si>
  <si>
    <t>EGAF00001725524, EGAF00001745353, EGAF00001745354</t>
  </si>
  <si>
    <t>COMP-0060</t>
  </si>
  <si>
    <t>EGAF00001725525, EGAF00001745355, EGAF00001745356</t>
  </si>
  <si>
    <t>Nicolle et al.
ERP022034</t>
  </si>
  <si>
    <t>PDAC001T</t>
  </si>
  <si>
    <t>ERR1880117, ERR1880118</t>
  </si>
  <si>
    <t>PDX</t>
  </si>
  <si>
    <t>PDAC003T</t>
  </si>
  <si>
    <t>ERR1880119, ERR1880120</t>
  </si>
  <si>
    <t>PDAC004T</t>
  </si>
  <si>
    <t>ERR1880121, ERR1880122</t>
  </si>
  <si>
    <t>PDAC005T</t>
  </si>
  <si>
    <t>ERR1880123, ERR1880124</t>
  </si>
  <si>
    <t>PDAC006T</t>
  </si>
  <si>
    <t>ERR1880125, ERR1880126</t>
  </si>
  <si>
    <t>PDAC007T</t>
  </si>
  <si>
    <t>ERR1880127, ERR1880128</t>
  </si>
  <si>
    <t>PDAC008T</t>
  </si>
  <si>
    <t>ERR1880129, ERR1880130</t>
  </si>
  <si>
    <t>PDAC009T</t>
  </si>
  <si>
    <t>ERR1880131, ERR1880132</t>
  </si>
  <si>
    <t>FGFR2-G3BP2</t>
  </si>
  <si>
    <t>PDAC011T</t>
  </si>
  <si>
    <t>ERR1880133, ERR1880134</t>
  </si>
  <si>
    <t>PDAC012T</t>
  </si>
  <si>
    <t>ERR1880135, ERR1880136</t>
  </si>
  <si>
    <t>Q61K</t>
  </si>
  <si>
    <t>PDAC013T</t>
  </si>
  <si>
    <t>ERR1880137, ERR1880138</t>
  </si>
  <si>
    <t>PDAC014T</t>
  </si>
  <si>
    <t>ERR1880139, ERR1880140</t>
  </si>
  <si>
    <t>PDAC015T</t>
  </si>
  <si>
    <t>ERR1880141, ERR1880142</t>
  </si>
  <si>
    <t>PDAC016T</t>
  </si>
  <si>
    <t>ERR1880143, ERR1880144</t>
  </si>
  <si>
    <t>PDAC017T</t>
  </si>
  <si>
    <t>ERR1880145, ERR1880146</t>
  </si>
  <si>
    <t>PDAC018T</t>
  </si>
  <si>
    <t>ERR1880147, ERR1880148</t>
  </si>
  <si>
    <t>PDAC019T</t>
  </si>
  <si>
    <t>ERR1880149, ERR1880150</t>
  </si>
  <si>
    <t>PDAC020T</t>
  </si>
  <si>
    <t>ERR1880151, ERR1880152</t>
  </si>
  <si>
    <t>PDAC021T</t>
  </si>
  <si>
    <t>ERR1880153, ERR1880154</t>
  </si>
  <si>
    <t>PDAC022T</t>
  </si>
  <si>
    <t>ERR1880155, ERR1880156</t>
  </si>
  <si>
    <t>PDAC023T</t>
  </si>
  <si>
    <t>ERR1880157, ERR1880158</t>
  </si>
  <si>
    <t>PDAC024T</t>
  </si>
  <si>
    <t>ERR1880159, ERR1880160</t>
  </si>
  <si>
    <t>PDAC025T</t>
  </si>
  <si>
    <t>ERR1880161, ERR1880162</t>
  </si>
  <si>
    <t>PDAC026T</t>
  </si>
  <si>
    <t>ERR1880163, ERR1880164</t>
  </si>
  <si>
    <t>PDAC027T</t>
  </si>
  <si>
    <t>ERR1880165, ERR1880166</t>
  </si>
  <si>
    <t>PDAC028T</t>
  </si>
  <si>
    <t>ERR1880167, ERR1880168</t>
  </si>
  <si>
    <t>PDAC029T</t>
  </si>
  <si>
    <t>ERR1880169, ERR1880170</t>
  </si>
  <si>
    <t>PDAC030T</t>
  </si>
  <si>
    <t>ERR1880171</t>
  </si>
  <si>
    <t>PDAC031T</t>
  </si>
  <si>
    <t>ERR1880172</t>
  </si>
  <si>
    <t>PDAC032T</t>
  </si>
  <si>
    <t>ERR1880173, ERR1880174</t>
  </si>
  <si>
    <t>Lomberk et al.
ERP023824</t>
  </si>
  <si>
    <t>ERR2019716</t>
  </si>
  <si>
    <t>ERR2019721</t>
  </si>
  <si>
    <t>ERR2019722</t>
  </si>
  <si>
    <t>ERR2019723</t>
  </si>
  <si>
    <t>ERR2019724</t>
  </si>
  <si>
    <t>AH.IP</t>
  </si>
  <si>
    <t>ERR2019727</t>
  </si>
  <si>
    <t>B.Tim</t>
  </si>
  <si>
    <t>ERR2019730</t>
  </si>
  <si>
    <t>foie8</t>
  </si>
  <si>
    <t>ERR2019732</t>
  </si>
  <si>
    <t>Carugo et al.
ERP015474</t>
  </si>
  <si>
    <t>Patient 53</t>
  </si>
  <si>
    <t>ERR1457377, ERR1457378, ERR1457379</t>
  </si>
  <si>
    <t>ICGC-PACA-AU
EGAD00001003410</t>
  </si>
  <si>
    <t>ICGC_0006</t>
  </si>
  <si>
    <t>EGAF00001682685</t>
  </si>
  <si>
    <t>ICGC_0007</t>
  </si>
  <si>
    <t>EGAF00001682826</t>
  </si>
  <si>
    <t>ICGC_0009</t>
  </si>
  <si>
    <t>EGAF00001682820</t>
  </si>
  <si>
    <t>ICGC_0020</t>
  </si>
  <si>
    <t>EGAF00001682847</t>
  </si>
  <si>
    <t>ICGC_0021</t>
  </si>
  <si>
    <t>EGAF00001682676</t>
  </si>
  <si>
    <t>ICGC_0025</t>
  </si>
  <si>
    <t>EGAF00001682769</t>
  </si>
  <si>
    <t>ICGC_0026</t>
  </si>
  <si>
    <t>EGAF00001682841</t>
  </si>
  <si>
    <t>ICGC_0031</t>
  </si>
  <si>
    <t>EGAF00001682829</t>
  </si>
  <si>
    <t>ICGC_0033</t>
  </si>
  <si>
    <t>EGAF00001682796</t>
  </si>
  <si>
    <t>ICGC_0037</t>
  </si>
  <si>
    <t>EGAF00001682880</t>
  </si>
  <si>
    <t>ICGC_0048</t>
  </si>
  <si>
    <t>EGAF00001682814</t>
  </si>
  <si>
    <t>ICGC_0051</t>
  </si>
  <si>
    <t>EGAF00001682742</t>
  </si>
  <si>
    <t>ICGC_0052</t>
  </si>
  <si>
    <t>EGAF00001682775</t>
  </si>
  <si>
    <t>ICGC_0053</t>
  </si>
  <si>
    <t>EGAF00001682853</t>
  </si>
  <si>
    <t>ICGC_0054</t>
  </si>
  <si>
    <t>EGAF00001682811</t>
  </si>
  <si>
    <t>ICGC_0055</t>
  </si>
  <si>
    <t>EGAF00001682718</t>
  </si>
  <si>
    <t>ICGC_0059</t>
  </si>
  <si>
    <t>EGAF00001682886</t>
  </si>
  <si>
    <t>ICGC_0061</t>
  </si>
  <si>
    <t>EGAF00001682790</t>
  </si>
  <si>
    <t>ICGC_0063</t>
  </si>
  <si>
    <t>EGAF00001682721</t>
  </si>
  <si>
    <t>ICGC_0066</t>
  </si>
  <si>
    <t>EGAF00001682682</t>
  </si>
  <si>
    <t>ICGC_0067</t>
  </si>
  <si>
    <t>EGAF00001682823</t>
  </si>
  <si>
    <t>ICGC_0087</t>
  </si>
  <si>
    <t>EGAF00001682673</t>
  </si>
  <si>
    <t>ICGC_0088</t>
  </si>
  <si>
    <t>EGAF00001682757</t>
  </si>
  <si>
    <t>ICGC_0099</t>
  </si>
  <si>
    <t>EGAF00001682859</t>
  </si>
  <si>
    <t>ICGC_0103</t>
  </si>
  <si>
    <t>EGAF00001682817</t>
  </si>
  <si>
    <t>ICGC_0105</t>
  </si>
  <si>
    <t>EGAF00001682808</t>
  </si>
  <si>
    <t>ICGC_0109</t>
  </si>
  <si>
    <t>EGAF00001682712</t>
  </si>
  <si>
    <t>ICGC_0114</t>
  </si>
  <si>
    <t>EGAF00001682766</t>
  </si>
  <si>
    <t>ICGC_0115</t>
  </si>
  <si>
    <t>EGAF00001682700</t>
  </si>
  <si>
    <t>ICGC_0124</t>
  </si>
  <si>
    <t>EGAF00001682751</t>
  </si>
  <si>
    <t>ICGC_0134</t>
  </si>
  <si>
    <t>EGAF00001682754</t>
  </si>
  <si>
    <t>ICGC_0135</t>
  </si>
  <si>
    <t>EGAF00001682736</t>
  </si>
  <si>
    <t>ICGC_0139</t>
  </si>
  <si>
    <t>EGAF00001682850</t>
  </si>
  <si>
    <t>ICGC_0140</t>
  </si>
  <si>
    <t>EGAF00001682805</t>
  </si>
  <si>
    <t>ICGC_0141</t>
  </si>
  <si>
    <t>EGAF00001682664</t>
  </si>
  <si>
    <t>ICGC_0143</t>
  </si>
  <si>
    <t>EGAF00001682763</t>
  </si>
  <si>
    <t>ICGC_0144</t>
  </si>
  <si>
    <t>EGAF00001682739</t>
  </si>
  <si>
    <t>ICGC_0146</t>
  </si>
  <si>
    <t>EGAF00001682661</t>
  </si>
  <si>
    <t>ICGC_0149</t>
  </si>
  <si>
    <t>EGAF00001682745</t>
  </si>
  <si>
    <t>ICGC_0153</t>
  </si>
  <si>
    <t>EGAF00001682688</t>
  </si>
  <si>
    <t>ICGC_0169</t>
  </si>
  <si>
    <t>EGAF00001682799</t>
  </si>
  <si>
    <t>ICGC_0185</t>
  </si>
  <si>
    <t>EGAF00001682667</t>
  </si>
  <si>
    <t>ICGC_0188</t>
  </si>
  <si>
    <t>EGAF00001682703</t>
  </si>
  <si>
    <t>G12A</t>
  </si>
  <si>
    <t>ICGC_0192</t>
  </si>
  <si>
    <t>EGAF00001682706</t>
  </si>
  <si>
    <t>ICGC_0199</t>
  </si>
  <si>
    <t>EGAF00001682862</t>
  </si>
  <si>
    <t>ICGC_0201</t>
  </si>
  <si>
    <t>EGAF00001682856</t>
  </si>
  <si>
    <t>ICGC_0205</t>
  </si>
  <si>
    <t>EGAF00001682895</t>
  </si>
  <si>
    <t>ICGC_0206</t>
  </si>
  <si>
    <t>EGAF00001682844</t>
  </si>
  <si>
    <t>ICGC_0207</t>
  </si>
  <si>
    <t>EGAF00001682883</t>
  </si>
  <si>
    <t>ICGC_0214</t>
  </si>
  <si>
    <t>EGAF00001682877</t>
  </si>
  <si>
    <t>ICGC_0215</t>
  </si>
  <si>
    <t>EGAF00001682784</t>
  </si>
  <si>
    <t>ICGC_0223</t>
  </si>
  <si>
    <t>EGAF00001682793</t>
  </si>
  <si>
    <t>ICGC_0227</t>
  </si>
  <si>
    <t>EGAF00001682760</t>
  </si>
  <si>
    <t>ICGC_0235</t>
  </si>
  <si>
    <t>EGAF00001682832</t>
  </si>
  <si>
    <t>ICGC_0295</t>
  </si>
  <si>
    <t>EGAF00001682748</t>
  </si>
  <si>
    <t>ICGC_0296</t>
  </si>
  <si>
    <t>EGAF00001682694</t>
  </si>
  <si>
    <t>ICGC_0300</t>
  </si>
  <si>
    <t>EGAF00001682865</t>
  </si>
  <si>
    <t>ICGC_0304</t>
  </si>
  <si>
    <t>EGAF00001682787</t>
  </si>
  <si>
    <t>ICGC_0309</t>
  </si>
  <si>
    <t>EGAF00001682730</t>
  </si>
  <si>
    <t>ICGC_0312</t>
  </si>
  <si>
    <t>EGAF00001682892</t>
  </si>
  <si>
    <t>ICGC_0313</t>
  </si>
  <si>
    <t>EGAF00001682778</t>
  </si>
  <si>
    <t>ICGC_0315</t>
  </si>
  <si>
    <t>EGAF00001682901</t>
  </si>
  <si>
    <t>ICGC_0321</t>
  </si>
  <si>
    <t>EGAF00001682772</t>
  </si>
  <si>
    <t>ICGC_0326</t>
  </si>
  <si>
    <t>EGAF00001682874</t>
  </si>
  <si>
    <t>ICGC_0338</t>
  </si>
  <si>
    <t>EGAF00001682709</t>
  </si>
  <si>
    <t>SND1-BRAF</t>
  </si>
  <si>
    <t>ICGC_0365</t>
  </si>
  <si>
    <t>EGAF00001682724</t>
  </si>
  <si>
    <t>ICGC_0391</t>
  </si>
  <si>
    <t>EGAF00001682868</t>
  </si>
  <si>
    <t>CCDC6-RET</t>
  </si>
  <si>
    <t>ICGC_0393</t>
  </si>
  <si>
    <t>EGAF00001682679</t>
  </si>
  <si>
    <t>ICGC_0395</t>
  </si>
  <si>
    <t>EGAF00001682802</t>
  </si>
  <si>
    <t>ICGC_0406</t>
  </si>
  <si>
    <t>EGAF00001682871</t>
  </si>
  <si>
    <t>ICGC_0412</t>
  </si>
  <si>
    <t>EGAF00001682697</t>
  </si>
  <si>
    <t>ICGC_0417</t>
  </si>
  <si>
    <t>EGAF00001682838</t>
  </si>
  <si>
    <t>ICGC_0420</t>
  </si>
  <si>
    <t>EGAF00001682835</t>
  </si>
  <si>
    <t>ICGC_0502</t>
  </si>
  <si>
    <t>EGAF00001682715</t>
  </si>
  <si>
    <t>ICGC_0503</t>
  </si>
  <si>
    <t>EGAF00001682691</t>
  </si>
  <si>
    <t>ICGC_0507</t>
  </si>
  <si>
    <t>EGAF00001682670</t>
  </si>
  <si>
    <t>ICGC_0518</t>
  </si>
  <si>
    <t>EGAF00001682889</t>
  </si>
  <si>
    <t>ICGC_0521</t>
  </si>
  <si>
    <t>EGAF00001682727</t>
  </si>
  <si>
    <t>ICGC_0526</t>
  </si>
  <si>
    <t>EGAF00001682898</t>
  </si>
  <si>
    <t>PACA-CA
EGAD00001003945
EGAD00001003972</t>
  </si>
  <si>
    <t>PCSI_0015</t>
  </si>
  <si>
    <t>EGAF00001844234, EGAF00001878928, EGAF00001878929</t>
  </si>
  <si>
    <t>PCSI_0019</t>
  </si>
  <si>
    <t>EGAF00001844235, EGAF00001878930, EGAF00001878931</t>
  </si>
  <si>
    <t>PCSI_0044</t>
  </si>
  <si>
    <t>EGAF00001844236, EGAF00001878932, EGAF00001878933</t>
  </si>
  <si>
    <t>PCSI_0046</t>
  </si>
  <si>
    <t>EGAF00001844237, EGAF00001878934, EGAF00001878935</t>
  </si>
  <si>
    <t>PCSI_0047</t>
  </si>
  <si>
    <t>EGAF00001844238, EGAF00001878936, EGAF00001878937</t>
  </si>
  <si>
    <t>PCSI_0048</t>
  </si>
  <si>
    <t>EGAF00001844239, EGAF00001878938, EGAF00001878939</t>
  </si>
  <si>
    <t>PCSI_0072</t>
  </si>
  <si>
    <t>EGAF00001844250, EGAF00001878940, EGAF00001878941</t>
  </si>
  <si>
    <t>PCSI_0073</t>
  </si>
  <si>
    <t>EGAF00001844251, EGAF00001878942, EGAF00001878943</t>
  </si>
  <si>
    <t>PCSI_0074</t>
  </si>
  <si>
    <t>EGAF00001844252, EGAF00001878944, EGAF00001878945</t>
  </si>
  <si>
    <t>PCSI_0075</t>
  </si>
  <si>
    <t>EGAF00001844253, EGAF00001878946, EGAF00001878947</t>
  </si>
  <si>
    <t>PCSI_0077</t>
  </si>
  <si>
    <t>EGAF00001844254, EGAF00001878948, EGAF00001878949</t>
  </si>
  <si>
    <t>PCSI_0078</t>
  </si>
  <si>
    <t>EGAF00001844255, EGAF00001878950, EGAF00001878951</t>
  </si>
  <si>
    <t>PCSI_0080</t>
  </si>
  <si>
    <t>EGAF00001844256, EGAF00001878952, EGAF00001878953</t>
  </si>
  <si>
    <t>PCSI_0081</t>
  </si>
  <si>
    <t>EGAF00001844257, EGAF00001878954, EGAF00001878955</t>
  </si>
  <si>
    <t>PCSI_0083</t>
  </si>
  <si>
    <t>EGAF00001844259, EGAF00001878958, EGAF00001878959</t>
  </si>
  <si>
    <t>PCSI_0084</t>
  </si>
  <si>
    <t>EGAF00001844260, EGAF00001878960, EGAF00001878961</t>
  </si>
  <si>
    <t>PCSI_0085</t>
  </si>
  <si>
    <t>EGAF00001844261, EGAF00001878962, EGAF00001878963</t>
  </si>
  <si>
    <t>PCSI_0090</t>
  </si>
  <si>
    <t>EGAF00001844262, EGAF00001878964, EGAF00001878965</t>
  </si>
  <si>
    <t>PCSI_0096</t>
  </si>
  <si>
    <t>EGAF00001844263, EGAF00001878966, EGAF00001878967</t>
  </si>
  <si>
    <t>PCSI_0098</t>
  </si>
  <si>
    <t>EGAF00001844264, EGAF00001878968, EGAF00001878969</t>
  </si>
  <si>
    <t>PCSI_0099</t>
  </si>
  <si>
    <t>EGAF00001844265, EGAF00001878970, EGAF00001878971</t>
  </si>
  <si>
    <t>PCSI_0101</t>
  </si>
  <si>
    <t>EGAF00001844281, EGAF00001878972, EGAF00001878973</t>
  </si>
  <si>
    <t>PCSI_0102</t>
  </si>
  <si>
    <t>EGAF00001844282, EGAF00001878974, EGAF00001878975</t>
  </si>
  <si>
    <t>PCSI_0103</t>
  </si>
  <si>
    <t>EGAF00001844283, EGAF00001878976, EGAF00001878977</t>
  </si>
  <si>
    <t>PCSI_0104</t>
  </si>
  <si>
    <t>EGAF00001844284, EGAF00001878978, EGAF00001878979</t>
  </si>
  <si>
    <t>PCSI_0105</t>
  </si>
  <si>
    <t>EGAF00001844285, EGAF00001878980, EGAF00001878981</t>
  </si>
  <si>
    <t>PCSI_0106</t>
  </si>
  <si>
    <t>EGAF00001844286, EGAF00001878982, EGAF00001878983</t>
  </si>
  <si>
    <t>PCSI_0107</t>
  </si>
  <si>
    <t>EGAF00001844287, EGAF00001878984, EGAF00001878985</t>
  </si>
  <si>
    <t>PCSI_0108</t>
  </si>
  <si>
    <t>EGAF00001844288, EGAF00001878986, EGAF00001878987</t>
  </si>
  <si>
    <t>PCSI_0109</t>
  </si>
  <si>
    <t>EGAF00001844289, EGAF00001878988, EGAF00001878989</t>
  </si>
  <si>
    <t>PCSI_0111</t>
  </si>
  <si>
    <t>EGAF00001844290, EGAF00001878990, EGAF00001878991</t>
  </si>
  <si>
    <t>PCSI_0132</t>
  </si>
  <si>
    <t>EGAF00001844291, EGAF00001878992, EGAF00001878993</t>
  </si>
  <si>
    <t>PCSI_0142</t>
  </si>
  <si>
    <t>EGAF00001844292, EGAF00001878994, EGAF00001878995</t>
  </si>
  <si>
    <t>PCSI_0145</t>
  </si>
  <si>
    <t>EGAF00001844293, EGAF00001878996, EGAF00001878997</t>
  </si>
  <si>
    <t>PCSI_0146</t>
  </si>
  <si>
    <t>EGAF00001844294, EGAF00001878998, EGAF00001878999</t>
  </si>
  <si>
    <t>PCSI_0161</t>
  </si>
  <si>
    <t>EGAF00001844295, EGAF00001879000, EGAF00001879001</t>
  </si>
  <si>
    <t>PCSI_0162</t>
  </si>
  <si>
    <t>EGAF00001844296, EGAF00001879002, EGAF00001879003</t>
  </si>
  <si>
    <t>PCSI_0164</t>
  </si>
  <si>
    <t>EGAF00001844313, EGAF00001879004, EGAF00001879005</t>
  </si>
  <si>
    <t xml:space="preserve">E37D </t>
  </si>
  <si>
    <t>PCSI_0169</t>
  </si>
  <si>
    <t>EGAF00001844314, EGAF00001879006, EGAF00001879007</t>
  </si>
  <si>
    <t>PCSI_0170</t>
  </si>
  <si>
    <t>EGAF00001844316, EGAF00001879010, EGAF00001879011</t>
  </si>
  <si>
    <t>PCSI_0171</t>
  </si>
  <si>
    <t>EGAF00001844317, EGAF00001879012, EGAF00001879013</t>
  </si>
  <si>
    <t>PCSI_0173</t>
  </si>
  <si>
    <t>EGAF00001844318, EGAF00001879014, EGAF00001879015</t>
  </si>
  <si>
    <t>PCSI_0174</t>
  </si>
  <si>
    <t>EGAF00001844319, EGAF00001879016, EGAF00001879017</t>
  </si>
  <si>
    <t>PCSI_0175</t>
  </si>
  <si>
    <t>EGAF00001844320, EGAF00001879018, EGAF00001879019</t>
  </si>
  <si>
    <t>PCSI_0208</t>
  </si>
  <si>
    <t>EGAF00001844321, EGAF00001879020, EGAF00001879021</t>
  </si>
  <si>
    <t>PCSI_0210</t>
  </si>
  <si>
    <t>EGAF00001844322, EGAF00001879022, EGAF00001879023</t>
  </si>
  <si>
    <t>PCSI_0217</t>
  </si>
  <si>
    <t>EGAF00001844323, EGAF00001879024, EGAF00001879025</t>
  </si>
  <si>
    <t>PCSI_0218</t>
  </si>
  <si>
    <t>EGAF00001844324, EGAF00001879026, EGAF00001879027</t>
  </si>
  <si>
    <t>PCSI_0224</t>
  </si>
  <si>
    <t>EGAF00001844325, EGAF00001879028, EGAF00001879029</t>
  </si>
  <si>
    <t>PCSI_0226</t>
  </si>
  <si>
    <t>EGAF00001844326, EGAF00001879030, EGAF00001879031</t>
  </si>
  <si>
    <t>PCSI_0227</t>
  </si>
  <si>
    <t>EGAF00001844327, EGAF00001879032, EGAF00001879033</t>
  </si>
  <si>
    <t>PCSI_0228</t>
  </si>
  <si>
    <t>EGAF00001844328, EGAF00001879034, EGAF00001879035</t>
  </si>
  <si>
    <t>Q61L</t>
  </si>
  <si>
    <t>PCSI_0230</t>
  </si>
  <si>
    <t>EGAF00001844332, EGAF00001879036, EGAF00001879037</t>
  </si>
  <si>
    <t>PCSI_0233</t>
  </si>
  <si>
    <t>EGAF00001844333, EGAF00001879038, EGAF00001879039</t>
  </si>
  <si>
    <t>PCSI_0235</t>
  </si>
  <si>
    <t>EGAF00001844334, EGAF00001879040, EGAF00001879041</t>
  </si>
  <si>
    <t>PCSI_0240</t>
  </si>
  <si>
    <t>EGAF00001844335, EGAF00001879042, EGAF00001879043</t>
  </si>
  <si>
    <t>PCSI_0261</t>
  </si>
  <si>
    <t>EGAF00001844336, EGAF00001879044, EGAF00001879045</t>
  </si>
  <si>
    <t>PCSI_0263</t>
  </si>
  <si>
    <t>EGAF00001844337, EGAF00001879046, EGAF00001879047</t>
  </si>
  <si>
    <t>PCSI_0264</t>
  </si>
  <si>
    <t>EGAF00001844338, EGAF00001879048, EGAF00001879049</t>
  </si>
  <si>
    <t>PCSI_0268</t>
  </si>
  <si>
    <t>EGAF00001844339, EGAF00001879050, EGAF00001879051</t>
  </si>
  <si>
    <t>PCSI_0269</t>
  </si>
  <si>
    <t>EGAF00001844340, EGAF00001879052, EGAF00001879053</t>
  </si>
  <si>
    <t>PCSI_0274</t>
  </si>
  <si>
    <t>EGAF00001844341, EGAF00001879054, EGAF00001879055</t>
  </si>
  <si>
    <t>PCSI_0279</t>
  </si>
  <si>
    <t>EGAF00001844342, EGAF00001879056, EGAF00001879057</t>
  </si>
  <si>
    <t>KANK1-NTRK3</t>
  </si>
  <si>
    <t>PCSI_0280</t>
  </si>
  <si>
    <t>EGAF00001844343, EGAF00001879058, EGAF00001879059</t>
  </si>
  <si>
    <t>PCSI_0283</t>
  </si>
  <si>
    <t>EGAF00001844344, EGAF00001879060, EGAF00001879061</t>
  </si>
  <si>
    <t>PCSI_0284</t>
  </si>
  <si>
    <t>EGAF00001844345, EGAF00001879062, EGAF00001879063</t>
  </si>
  <si>
    <t>PCSI_0285</t>
  </si>
  <si>
    <t>EGAF00001844346, EGAF00001879064, EGAF00001879065</t>
  </si>
  <si>
    <t>PCSI_0286</t>
  </si>
  <si>
    <t>EGAF00001844347, EGAF00001879066, EGAF00001879067</t>
  </si>
  <si>
    <t>PCSI_0287</t>
  </si>
  <si>
    <t>EGAF00001844348, EGAF00001879068, EGAF00001879069</t>
  </si>
  <si>
    <t>PCSI_0290</t>
  </si>
  <si>
    <t>EGAF00001844358, EGAF00001879070, EGAF00001879071</t>
  </si>
  <si>
    <t>PCSI_0292</t>
  </si>
  <si>
    <t>EGAF00001844359, EGAF00001879072, EGAF00001879073</t>
  </si>
  <si>
    <t>PCSI_0294</t>
  </si>
  <si>
    <t>EGAF00001844360, EGAF00001879074, EGAF00001879075</t>
  </si>
  <si>
    <t>PCSI_0295</t>
  </si>
  <si>
    <t>EGAF00001844361, EGAF00001879076, EGAF00001879077</t>
  </si>
  <si>
    <t>PCSI_0297</t>
  </si>
  <si>
    <t>EGAF00001844362, EGAF00001879078, EGAF00001879079</t>
  </si>
  <si>
    <t>PCSI_0300</t>
  </si>
  <si>
    <t>EGAF00001844363, EGAF00001879080, EGAF00001879081</t>
  </si>
  <si>
    <t>PCSI_0301</t>
  </si>
  <si>
    <t>EGAF00001844364, EGAF00001879082, EGAF00001879083</t>
  </si>
  <si>
    <t>PCSI_0302</t>
  </si>
  <si>
    <t>EGAF00001844365, EGAF00001879084, EGAF00001879085</t>
  </si>
  <si>
    <t>PCSI_0303</t>
  </si>
  <si>
    <t>EGAF00001844366, EGAF00001879086, EGAF00001879087</t>
  </si>
  <si>
    <t>PCSI_0305</t>
  </si>
  <si>
    <t>EGAF00001844367, EGAF00001879088, EGAF00001879089</t>
  </si>
  <si>
    <t>PCSI_0307</t>
  </si>
  <si>
    <t>EGAF00001844368, EGAF00001879090, EGAF00001879091</t>
  </si>
  <si>
    <t>PCSI_0309</t>
  </si>
  <si>
    <t>EGAF00001844369, EGAF00001879092, EGAF00001879093</t>
  </si>
  <si>
    <t>PCSI_0310</t>
  </si>
  <si>
    <t>EGAF00001844370, EGAF00001879094, EGAF00001879095</t>
  </si>
  <si>
    <t>PCSI_0311</t>
  </si>
  <si>
    <t>EGAF00001844371, EGAF00001879096, EGAF00001879097</t>
  </si>
  <si>
    <t>PCSI_0312</t>
  </si>
  <si>
    <t>EGAF00001844372, EGAF00001879098, EGAF00001879099</t>
  </si>
  <si>
    <t>PCSI_0324</t>
  </si>
  <si>
    <t>EGAF00001844373, EGAF00001879100, EGAF00001879101</t>
  </si>
  <si>
    <t>PCSI_0325</t>
  </si>
  <si>
    <t>EGAF00001844547, EGAF00001879102, EGAF00001879103</t>
  </si>
  <si>
    <t>PCSI_0326</t>
  </si>
  <si>
    <t>EGAF00001844548, EGAF00001879104, EGAF00001879105</t>
  </si>
  <si>
    <t>TRIM24-BRAF</t>
  </si>
  <si>
    <t>PCSI_0328</t>
  </si>
  <si>
    <t>EGAF00001844549, EGAF00001879106, EGAF00001879107</t>
  </si>
  <si>
    <t>PCSI_0329</t>
  </si>
  <si>
    <t>EGAF00001844550, EGAF00001879108, EGAF00001879109</t>
  </si>
  <si>
    <t>PCSI_0330</t>
  </si>
  <si>
    <t>EGAF00001844551, EGAF00001879110, EGAF00001879111</t>
  </si>
  <si>
    <t>PCSI_0334</t>
  </si>
  <si>
    <t>EGAF00001844552, EGAF00001879112, EGAF00001879113</t>
  </si>
  <si>
    <t>PCSI_0337</t>
  </si>
  <si>
    <t>EGAF00001844553, EGAF00001879114, EGAF00001879115</t>
  </si>
  <si>
    <t>PCSI_0338</t>
  </si>
  <si>
    <t>EGAF00001844554, EGAF00001879116, EGAF00001879117</t>
  </si>
  <si>
    <t>PCSI_0339</t>
  </si>
  <si>
    <t>EGAF00001844555, EGAF00001879118, EGAF00001879119</t>
  </si>
  <si>
    <t>PCSI_0340</t>
  </si>
  <si>
    <t>EGAF00001844556, EGAF00001879120, EGAF00001879121</t>
  </si>
  <si>
    <t>PCSI_0341</t>
  </si>
  <si>
    <t>EGAF00001844557, EGAF00001879122, EGAF00001879123</t>
  </si>
  <si>
    <t>PCSI_0343</t>
  </si>
  <si>
    <t>EGAF00001844558, EGAF00001879124, EGAF00001879125</t>
  </si>
  <si>
    <t>PCSI_0344</t>
  </si>
  <si>
    <t>EGAF00001844559, EGAF00001879126, EGAF00001879127</t>
  </si>
  <si>
    <t>PCSI_0345</t>
  </si>
  <si>
    <t>EGAF00001844560, EGAF00001879128, EGAF00001879129</t>
  </si>
  <si>
    <t>PCSI_0347</t>
  </si>
  <si>
    <t>EGAF00001844561, EGAF00001879130, EGAF00001879131</t>
  </si>
  <si>
    <t>SLC4A4-ROS1</t>
  </si>
  <si>
    <t>PCSI_0350</t>
  </si>
  <si>
    <t>EGAF00001844562, EGAF00001879132, EGAF00001879133</t>
  </si>
  <si>
    <t>PCSI_0351</t>
  </si>
  <si>
    <t>EGAF00001844563, EGAF00001879134, EGAF00001879135</t>
  </si>
  <si>
    <t>PCSI_0352</t>
  </si>
  <si>
    <t>EGAF00001844564, EGAF00001879136, EGAF00001879137</t>
  </si>
  <si>
    <t>PCSI_0353</t>
  </si>
  <si>
    <t>EGAF00001844565, EGAF00001879138, EGAF00001879139</t>
  </si>
  <si>
    <t>PCSI_0354</t>
  </si>
  <si>
    <t>EGAF00001844566, EGAF00001879140, EGAF00001879141</t>
  </si>
  <si>
    <t>PCSI_0355</t>
  </si>
  <si>
    <t>EGAF00001844567, EGAF00001879142, EGAF00001879143</t>
  </si>
  <si>
    <t>PCSI_0356</t>
  </si>
  <si>
    <t>EGAF00001844569, EGAF00001879146, EGAF00001879147</t>
  </si>
  <si>
    <t>PCSI_0357</t>
  </si>
  <si>
    <t>EGAF00001844570, EGAF00001879148, EGAF00001879149</t>
  </si>
  <si>
    <t>PCSI_0358</t>
  </si>
  <si>
    <t>EGAF00001844571, EGAF00001879150, EGAF00001879151</t>
  </si>
  <si>
    <t>PCSI_0383</t>
  </si>
  <si>
    <t>EGAF00001844572, EGAF00001879152, EGAF00001879153</t>
  </si>
  <si>
    <t>PCSI_0384</t>
  </si>
  <si>
    <t>EGAF00001844573, EGAF00001879154, EGAF00001879155</t>
  </si>
  <si>
    <t>PCSI_0392</t>
  </si>
  <si>
    <t>EGAF00001844574, EGAF00001879156, EGAF00001879157</t>
  </si>
  <si>
    <t>PCSI_0402</t>
  </si>
  <si>
    <t>EGAF00001844575, EGAF00001879158, EGAF00001879159</t>
  </si>
  <si>
    <t>PCSI_0403</t>
  </si>
  <si>
    <t>EGAF00001844576, EGAF00001879160, EGAF00001879161</t>
  </si>
  <si>
    <t>G13P</t>
  </si>
  <si>
    <t>PCSI_0404</t>
  </si>
  <si>
    <t>EGAF00001844577, EGAF00001879162, EGAF00001879163</t>
  </si>
  <si>
    <t>PCSI_0410</t>
  </si>
  <si>
    <t>EGAF00001844581, EGAF00001879170, EGAF00001879171</t>
  </si>
  <si>
    <t>PCSI_0449</t>
  </si>
  <si>
    <t>EGAF00001844586, EGAF00001879180, EGAF00001879181</t>
  </si>
  <si>
    <t>G12R, K178E</t>
  </si>
  <si>
    <t>PCSI_0450</t>
  </si>
  <si>
    <t>EGAF00001844587, EGAF00001879182, EGAF00001879183</t>
  </si>
  <si>
    <t>PCSI_0451</t>
  </si>
  <si>
    <t>EGAF00001844588, EGAF00001879184, EGAF00001879185</t>
  </si>
  <si>
    <t>PCSI_0453</t>
  </si>
  <si>
    <t>EGAF00001844589, EGAF00001879186, EGAF00001879187</t>
  </si>
  <si>
    <t>PCSI_0456</t>
  </si>
  <si>
    <t>EGAF00001844590, EGAF00001879188, EGAF00001879189</t>
  </si>
  <si>
    <t>PCSI_0457</t>
  </si>
  <si>
    <t>EGAF00001844591, EGAF00001879190, EGAF00001879191</t>
  </si>
  <si>
    <t>PCSI_0458</t>
  </si>
  <si>
    <t>EGAF00001844592, EGAF00001879192, EGAF00001879193</t>
  </si>
  <si>
    <t>PCSI_0460</t>
  </si>
  <si>
    <t>EGAF00001844593, EGAF00001879194, EGAF00001879195</t>
  </si>
  <si>
    <t>PCSI_0463</t>
  </si>
  <si>
    <t>EGAF00001844594, EGAF00001879196, EGAF00001879197</t>
  </si>
  <si>
    <t>PCSI_0465</t>
  </si>
  <si>
    <t>EGAF00001844595, EGAF00001879198, EGAF00001879199</t>
  </si>
  <si>
    <t>PCSI_0466</t>
  </si>
  <si>
    <t>EGAF00001844596, EGAF00001879200, EGAF00001879201</t>
  </si>
  <si>
    <t>PCSI_0467</t>
  </si>
  <si>
    <t>EGAF00001844597, EGAF00001879202, EGAF00001879203</t>
  </si>
  <si>
    <t>PCSI_0468</t>
  </si>
  <si>
    <t>EGAF00001844598, EGAF00001879204, EGAF00001879205</t>
  </si>
  <si>
    <t>PCSI_0469</t>
  </si>
  <si>
    <t>EGAF00001844599, EGAF00001879206, EGAF00001879207</t>
  </si>
  <si>
    <t>PCSI_0472</t>
  </si>
  <si>
    <t>EGAF00001844600, EGAF00001879208, EGAF00001879209</t>
  </si>
  <si>
    <t>PCSI_0473</t>
  </si>
  <si>
    <t>EGAF00001844601, EGAF00001879210, EGAF00001879211</t>
  </si>
  <si>
    <t>PCSI_0474</t>
  </si>
  <si>
    <t>EGAF00001844602, EGAF00001879212, EGAF00001879213</t>
  </si>
  <si>
    <t>PCSI_0475</t>
  </si>
  <si>
    <t>EGAF00001844240, EGAF00001879214, EGAF00001879215</t>
  </si>
  <si>
    <t>PCSI_0476</t>
  </si>
  <si>
    <t>EGAF00001844241, EGAF00001879216, EGAF00001879217</t>
  </si>
  <si>
    <t>PCSI_0477</t>
  </si>
  <si>
    <t>EGAF00001844242, EGAF00001879218, EGAF00001879219</t>
  </si>
  <si>
    <t>PCSI_0492</t>
  </si>
  <si>
    <t>EGAF00001844243, EGAF00001879220, EGAF00001879221</t>
  </si>
  <si>
    <t>PCSI_0506</t>
  </si>
  <si>
    <t>EGAF00001844244, EGAF00001879222, EGAF00001879223</t>
  </si>
  <si>
    <t>PCSI_0508</t>
  </si>
  <si>
    <t>EGAF00001844245, EGAF00001879224, EGAF00001879225</t>
  </si>
  <si>
    <t>PCSI_0509</t>
  </si>
  <si>
    <t>EGAF00001844246, EGAF00001879226, EGAF00001879227</t>
  </si>
  <si>
    <t>PCSI_0511</t>
  </si>
  <si>
    <t>EGAF00001844247, EGAF00001879228, EGAF00001879229</t>
  </si>
  <si>
    <t>PCSI_0518</t>
  </si>
  <si>
    <t>EGAF00001844248, EGAF00001879230, EGAF00001879231</t>
  </si>
  <si>
    <t>PCSI_0521</t>
  </si>
  <si>
    <t>EGAF00001844249, EGAF00001879232, EGAF00001879233</t>
  </si>
  <si>
    <t>PCSI_0527</t>
  </si>
  <si>
    <t>EGAF00001844266, EGAF00001879234, EGAF00001879235</t>
  </si>
  <si>
    <t>PCSI_0528</t>
  </si>
  <si>
    <t>EGAF00001844267, EGAF00001879236, EGAF00001879237</t>
  </si>
  <si>
    <t>PCSI_0529</t>
  </si>
  <si>
    <t>EGAF00001844268, EGAF00001879238, EGAF00001879239</t>
  </si>
  <si>
    <t>PCSI_0530</t>
  </si>
  <si>
    <t>EGAF00001844269, EGAF00001879240, EGAF00001879241</t>
  </si>
  <si>
    <t>PCSI_0531</t>
  </si>
  <si>
    <t>EGAF00001844270, EGAF00001879242, EGAF00001879243</t>
  </si>
  <si>
    <t>PCSI_0534</t>
  </si>
  <si>
    <t>EGAF00001844271, EGAF00001879244, EGAF00001879245</t>
  </si>
  <si>
    <t>PCSI_0537</t>
  </si>
  <si>
    <t>EGAF00001844272, EGAF00001879246, EGAF00001879247</t>
  </si>
  <si>
    <t>PCSI_0549</t>
  </si>
  <si>
    <t>EGAF00001844273, EGAF00001879248, EGAF00001879249</t>
  </si>
  <si>
    <t>PCSI_0572</t>
  </si>
  <si>
    <t>EGAF00001844274, EGAF00001879250, EGAF00001879251</t>
  </si>
  <si>
    <t>CDC42BPB-ALK</t>
  </si>
  <si>
    <t>PCSI_0588</t>
  </si>
  <si>
    <t>EGAF00001844275, EGAF00001879252, EGAF00001879253</t>
  </si>
  <si>
    <t>PCSI_0589</t>
  </si>
  <si>
    <t>EGAF00001844276, EGAF00001879254, EGAF00001879255</t>
  </si>
  <si>
    <t>PCSI_0590</t>
  </si>
  <si>
    <t>EGAF00001844278, EGAF00001879258, EGAF00001879259</t>
  </si>
  <si>
    <t>PCSI_0591</t>
  </si>
  <si>
    <t>EGAF00001844280, EGAF00001879262, EGAF00001879263</t>
  </si>
  <si>
    <t>PCSI_0592</t>
  </si>
  <si>
    <t>EGAF00001844297, EGAF00001879264, EGAF00001879265</t>
  </si>
  <si>
    <t>PCSI_0593</t>
  </si>
  <si>
    <t>EGAF00001844299, EGAF00001879268, EGAF00001879269</t>
  </si>
  <si>
    <t>PCSI_0594</t>
  </si>
  <si>
    <t>EGAF00001844300, EGAF00001879270, EGAF00001879271</t>
  </si>
  <si>
    <t>PCSI_0602</t>
  </si>
  <si>
    <t>EGAF00001844301, EGAF00001879272, EGAF00001879273</t>
  </si>
  <si>
    <t>PCSI_0608</t>
  </si>
  <si>
    <t>EGAF00001844303, EGAF00001879276, EGAF00001879277</t>
  </si>
  <si>
    <t>PCSI_0609</t>
  </si>
  <si>
    <t>EGAF00001844304, EGAF00001879278, EGAF00001879279</t>
  </si>
  <si>
    <t>PCSI_0610</t>
  </si>
  <si>
    <t>EGAF00001844305, EGAF00001879280, EGAF00001879281</t>
  </si>
  <si>
    <t>PCSI_0611</t>
  </si>
  <si>
    <t>EGAF00001844306, EGAF00001879282, EGAF00001879283</t>
  </si>
  <si>
    <t>PCSI_0613</t>
  </si>
  <si>
    <t>EGAF00001844309, EGAF00001879288, EGAF00001879289</t>
  </si>
  <si>
    <t>PCSI_0616</t>
  </si>
  <si>
    <t>EGAF00001844310, EGAF00001879290, EGAF00001879291</t>
  </si>
  <si>
    <t>PCSI_0623</t>
  </si>
  <si>
    <t>EGAF00001844311, EGAF00001879292, EGAF00001879293</t>
  </si>
  <si>
    <t>PCSI_0624</t>
  </si>
  <si>
    <t>EGAF00001844312, EGAF00001879294, EGAF00001879295</t>
  </si>
  <si>
    <t>PCSI_0625</t>
  </si>
  <si>
    <t>EGAF00001844375, EGAF00001879298, EGAF00001879299</t>
  </si>
  <si>
    <t>PCSI_0626</t>
  </si>
  <si>
    <t>EGAF00001844376, EGAF00001879300, EGAF00001879301</t>
  </si>
  <si>
    <t>PCSI_0627</t>
  </si>
  <si>
    <t>EGAF00001844408, EGAF00001879302, EGAF00001879303</t>
  </si>
  <si>
    <t>PCSI_0628</t>
  </si>
  <si>
    <t>EGAF00001844409, EGAF00001879304, EGAF00001879305</t>
  </si>
  <si>
    <t>PCSI_0629</t>
  </si>
  <si>
    <t>EGAF00001844410, EGAF00001879306, EGAF00001879307</t>
  </si>
  <si>
    <t>PCSI_0633</t>
  </si>
  <si>
    <t>EGAF00001844411, EGAF00001879308, EGAF00001879309</t>
  </si>
  <si>
    <t>PCSI_0638</t>
  </si>
  <si>
    <t>EGAF00001844413, EGAF00001879312, EGAF00001879313</t>
  </si>
  <si>
    <t>PCSI_0639</t>
  </si>
  <si>
    <t>EGAF00001844414, EGAF00001879314, EGAF00001879315</t>
  </si>
  <si>
    <t>PCSI_0642</t>
  </si>
  <si>
    <t>EGAF00001844415, EGAF00001879316, EGAF00001879317</t>
  </si>
  <si>
    <t>PCSI_0643</t>
  </si>
  <si>
    <t>EGAF00001844417, EGAF00001879320, EGAF00001879321</t>
  </si>
  <si>
    <t>PCSI_0645</t>
  </si>
  <si>
    <t>EGAF00001844418, EGAF00001879322, EGAF00001879323</t>
  </si>
  <si>
    <t>PCSI_0649</t>
  </si>
  <si>
    <t>EGAF00001844419, EGAF00001879324, EGAF00001879325</t>
  </si>
  <si>
    <t>PCSI_0652</t>
  </si>
  <si>
    <t>EGAF00001844420, EGAF00001879326, EGAF00001879327</t>
  </si>
  <si>
    <t>PCSI_0653</t>
  </si>
  <si>
    <t>EGAF00001844421, EGAF00001879328, EGAF00001879329</t>
  </si>
  <si>
    <t>PCSI_0655</t>
  </si>
  <si>
    <t>EGAF00001844422, EGAF00001879330, EGAF00001879331</t>
  </si>
  <si>
    <t>PCSI_0677</t>
  </si>
  <si>
    <t>EGAF00001844423, EGAF00001878894, EGAF00001878895</t>
  </si>
  <si>
    <t>PCSI_0694</t>
  </si>
  <si>
    <t>EGAF00001844455, EGAF00001878896, EGAF00001878897</t>
  </si>
  <si>
    <t>G12V,  V181A</t>
  </si>
  <si>
    <t>PCSI_0710</t>
  </si>
  <si>
    <t>EGAF00001844456, EGAF00001878898, EGAF00001878899</t>
  </si>
  <si>
    <t>PCSI_0890</t>
  </si>
  <si>
    <t>EGAF00001844457, EGAF00001878900, EGAF00001878901</t>
  </si>
  <si>
    <t>RAMP_0002</t>
  </si>
  <si>
    <t>EGAF00001844458, EGAF00001878902, EGAF00001878903</t>
  </si>
  <si>
    <t>RAMP_0004</t>
  </si>
  <si>
    <t>EGAF00001844461, EGAF00001878908, EGAF00001878909</t>
  </si>
  <si>
    <t>RAMP_0006</t>
  </si>
  <si>
    <t>EGAF00001844464, EGAF00001878914, EGAF00001878915</t>
  </si>
  <si>
    <t>RAMP_0007</t>
  </si>
  <si>
    <t>EGAF00001844466, EGAF00001878918, EGAF00001878919</t>
  </si>
  <si>
    <t>RAMP_0008</t>
  </si>
  <si>
    <t>EGAF00001844468, EGAF00001878922, EGAF00001878923</t>
  </si>
  <si>
    <t>TCGA-PAAD</t>
  </si>
  <si>
    <t>TCGA-2J-AAB1</t>
  </si>
  <si>
    <t>66cf449f-2a46-411e-bb71-e5cc96917132</t>
  </si>
  <si>
    <t>TCGA-2J-AAB4</t>
  </si>
  <si>
    <t>6fe298dd-6136-4d13-a339-8230d2b4c893</t>
  </si>
  <si>
    <t>TCGA-2J-AAB6</t>
  </si>
  <si>
    <t>97c6e71b-616d-4af2-a2f2-408f35588719</t>
  </si>
  <si>
    <t>TCGA-2J-AAB8</t>
  </si>
  <si>
    <t>3e7104ed-c522-4bbf-b7f3-e1f5ac48052b</t>
  </si>
  <si>
    <t>TCGA-2J-AAB9</t>
  </si>
  <si>
    <t>745103cd-60aa-4289-91a5-c83b27e83268</t>
  </si>
  <si>
    <t>TCGA-2J-AABA</t>
  </si>
  <si>
    <t>1820422e-b367-4b72-8af1-6f89600fb4f8</t>
  </si>
  <si>
    <t>TCGA-2J-AABE</t>
  </si>
  <si>
    <t>07dc55bd-b610-45ab-bc50-620b128ec261</t>
  </si>
  <si>
    <t>TCGA-2J-AABF</t>
  </si>
  <si>
    <t>95aacdc4-4b85-455c-b3f4-446853afcb0c</t>
  </si>
  <si>
    <t>TCGA-2J-AABH</t>
  </si>
  <si>
    <t>4333fe6d-0dd0-46bc-8328-31d5dd428667</t>
  </si>
  <si>
    <t>G12I</t>
  </si>
  <si>
    <t>TCGA-2J-AABI</t>
  </si>
  <si>
    <t>49097af0-245b-4c90-bd38-ebbc464c515c</t>
  </si>
  <si>
    <t>TCGA-2J-AABK</t>
  </si>
  <si>
    <t>ea12afdc-3b6c-4dd2-ae61-96f43bc051d5</t>
  </si>
  <si>
    <t>TCGA-2J-AABO</t>
  </si>
  <si>
    <t>56f04807-3fb6-477f-98dc-00938ae176d5</t>
  </si>
  <si>
    <t>TCGA-2J-AABP</t>
  </si>
  <si>
    <t>d157e2a4-f136-4859-9e18-28bf312d506e</t>
  </si>
  <si>
    <t>TCGA-2J-AABR</t>
  </si>
  <si>
    <t>d2a4ac88-7f76-46cf-8197-2b2e5b4cd902</t>
  </si>
  <si>
    <t>TCGA-2J-AABT</t>
  </si>
  <si>
    <t>daf44dd9-ad9a-4eca-83f7-0577a38093b2</t>
  </si>
  <si>
    <t>TCGA-2J-AABU</t>
  </si>
  <si>
    <t>0c0cafa6-e9e6-4c63-a64c-26420e73f25c</t>
  </si>
  <si>
    <t>TCGA-2J-AABV</t>
  </si>
  <si>
    <t>880b1a54-61b6-44be-9720-e09e6c171f7b</t>
  </si>
  <si>
    <t>TCGA-2L-AAQA</t>
  </si>
  <si>
    <t>bf67f6e8-eafd-4bac-aba9-634ca70bdfc8</t>
  </si>
  <si>
    <t>TCGA-2L-AAQE</t>
  </si>
  <si>
    <t>ebab1fb1-1976-48c7-8110-d688f5c6c92a</t>
  </si>
  <si>
    <t>TCGA-2L-AAQI</t>
  </si>
  <si>
    <t>05e7dc6a-bf6b-4658-9b95-b007c9ae95ab</t>
  </si>
  <si>
    <t>TCGA-2L-AAQJ</t>
  </si>
  <si>
    <t>b7bd0bca-fb69-4869-be28-038c7487f1f1</t>
  </si>
  <si>
    <t>TCGA-2L-AAQL</t>
  </si>
  <si>
    <t>bd9301c6-a268-4d02-a4ee-4afa2e2ff209</t>
  </si>
  <si>
    <t>TCGA-2L-AAQM</t>
  </si>
  <si>
    <t>626770c8-7b4f-47b6-a33b-d4845e62943a</t>
  </si>
  <si>
    <t>TCGA-3A-A9I5</t>
  </si>
  <si>
    <t>163427ab-f1e7-4d63-91a0-66a0513ac795</t>
  </si>
  <si>
    <t>ATP1B1-NRG1</t>
  </si>
  <si>
    <t>TCGA-3A-A9I7</t>
  </si>
  <si>
    <t>66c9782a-88f2-4734-a6e5-48e2dcfc551e</t>
  </si>
  <si>
    <t>TCGA-3A-A9I9</t>
  </si>
  <si>
    <t>85558819-e3ae-4ad7-8476-593b2041e8b7</t>
  </si>
  <si>
    <t>TCGA-3A-A9IB</t>
  </si>
  <si>
    <t>19fd795b-2c98-419b-a39a-66986cd20312</t>
  </si>
  <si>
    <t>TCGA-3A-A9IC</t>
  </si>
  <si>
    <t>d2dcc520-547e-4c27-8037-5a4f41db67ae</t>
  </si>
  <si>
    <t>TCGA-3A-A9IH</t>
  </si>
  <si>
    <t>eb7d94af-bfc2-45d6-b0a7-d5094cd31f9c</t>
  </si>
  <si>
    <t>TCGA-3A-A9IJ</t>
  </si>
  <si>
    <t>2b2b1f5d-0cf8-4ab7-bd57-f2d65bf81272</t>
  </si>
  <si>
    <t>TCGA-3A-A9IL</t>
  </si>
  <si>
    <t>d6784278-10d9-498e-830e-c9af18f6f943</t>
  </si>
  <si>
    <t>TCGA-3A-A9IN</t>
  </si>
  <si>
    <t>8836a592-c8d9-4b40-a4a0-90c12c13bae0</t>
  </si>
  <si>
    <t>TCGA-3A-A9IO</t>
  </si>
  <si>
    <t>2538e74c-d8fc-4ac0-b09c-96b8acd87a8a</t>
  </si>
  <si>
    <t>TCGA-3A-A9IR</t>
  </si>
  <si>
    <t>43aad240-ff20-473b-aa86-c8318ee24ca6</t>
  </si>
  <si>
    <t>TCGA-3A-A9IS</t>
  </si>
  <si>
    <t>0ad71d76-1b02-419e-bf53-6e68977af4e4</t>
  </si>
  <si>
    <t>TCGA-3A-A9IU</t>
  </si>
  <si>
    <t>4590dcb7-648f-48dd-8de1-8139f3bb34f3</t>
  </si>
  <si>
    <t>TCGA-3A-A9IV</t>
  </si>
  <si>
    <t>8ec7108d-5b31-4b45-8dfd-0b3e4d16eec2</t>
  </si>
  <si>
    <t>TCGA-3A-A9IX</t>
  </si>
  <si>
    <t>efc0c2ff-63c6-4028-a1c2-78bf63d04445</t>
  </si>
  <si>
    <t>TCGA-3A-A9IZ</t>
  </si>
  <si>
    <t>731b0cd6-70e1-41c1-814c-9c9328d57a6c</t>
  </si>
  <si>
    <t>TCGA-3A-A9J0</t>
  </si>
  <si>
    <t>1fcb6163-25a2-4d71-b46d-b4c76f7704db</t>
  </si>
  <si>
    <t>TCGA-3E-AAAY</t>
  </si>
  <si>
    <t>216f0e1f-9529-4fba-94bf-1c0aa60286b6</t>
  </si>
  <si>
    <t>TCGA-3E-AAAZ</t>
  </si>
  <si>
    <t>09f7b1a6-b231-4a7f-a811-d4d5c4c9371a</t>
  </si>
  <si>
    <t>TCGA-F2-6879</t>
  </si>
  <si>
    <t>72e9260c-6dd4-4184-97c2-6cf786917a76</t>
  </si>
  <si>
    <t>TCGA-F2-6880</t>
  </si>
  <si>
    <t>40f0b900-634f-4c43-a2e0-625d12bfefab</t>
  </si>
  <si>
    <t>TCGA-F2-7273</t>
  </si>
  <si>
    <t>d0453faf-5274-42fa-968c-6f8851d4e802</t>
  </si>
  <si>
    <t>TCGA-F2-7276</t>
  </si>
  <si>
    <t>195457c4-3ebe-48be-b51a-e4c7d88ea74b</t>
  </si>
  <si>
    <t>TCGA-F2-A44G</t>
  </si>
  <si>
    <t>57d478fa-da62-472f-b960-1ef29927a686</t>
  </si>
  <si>
    <t>TCGA-F2-A44H</t>
  </si>
  <si>
    <t>65d99cd1-7601-4dec-a9dd-e6d28880164d</t>
  </si>
  <si>
    <t>CUX1-BRAF</t>
  </si>
  <si>
    <t>TCGA-F2-A7TX</t>
  </si>
  <si>
    <t>939e271e-8a3c-453a-b1e7-bf9efdd41ca7</t>
  </si>
  <si>
    <t>TCGA-F2-A8YN</t>
  </si>
  <si>
    <t>81f032ec-edcf-4bc4-bba7-5f7cf33f1dbb</t>
  </si>
  <si>
    <t>TCGA-FB-A4P5</t>
  </si>
  <si>
    <t>cf06a7e1-b0e4-4238-bf74-07c9f6a93ecc</t>
  </si>
  <si>
    <t>TCGA-FB-A4P6</t>
  </si>
  <si>
    <t>770c53b4-b057-4cda-be1e-a5be11dfb363</t>
  </si>
  <si>
    <t>TCGA-FB-A545</t>
  </si>
  <si>
    <t>9f1bafa7-551d-4653-8f5e-f44b9d6b5094</t>
  </si>
  <si>
    <t>TCGA-FB-A5VM</t>
  </si>
  <si>
    <t>f8eb3fe8-03fb-4b45-ac99-241ec57ddd54</t>
  </si>
  <si>
    <t>TCGA-FB-A78T</t>
  </si>
  <si>
    <t>be193d16-fc86-4e31-82f2-21a7afb6796d</t>
  </si>
  <si>
    <t>G12A, G13C</t>
  </si>
  <si>
    <t>TCGA-FB-A7DR</t>
  </si>
  <si>
    <t>405dade5-4317-4f8d-8ee3-edad33151c84</t>
  </si>
  <si>
    <t>TCGA-FB-AAPP</t>
  </si>
  <si>
    <t>43dc033e-ed48-486d-af91-7bef6ad03cdc</t>
  </si>
  <si>
    <t>TCGA-FB-AAPQ</t>
  </si>
  <si>
    <t>a11c57d1-c6b6-4951-90a1-fdd10c3c9de4</t>
  </si>
  <si>
    <t>TCGA-FB-AAPS</t>
  </si>
  <si>
    <t>49e76520-07ff-41f7-a15b-6d8994dc39bc</t>
  </si>
  <si>
    <t>TCGA-FB-AAPU</t>
  </si>
  <si>
    <t>862e03dc-1c3b-49ec-bca8-43a1c92b6515</t>
  </si>
  <si>
    <t>TCGA-FB-AAPY</t>
  </si>
  <si>
    <t>271c5562-4fa4-403a-be2f-4bd42254a03e</t>
  </si>
  <si>
    <t>TCGA-FB-AAPZ</t>
  </si>
  <si>
    <t>3a91a069-a53d-4a56-8163-ff9c62cb104f</t>
  </si>
  <si>
    <t>TCGA-FB-AAQ0</t>
  </si>
  <si>
    <t>c41dfbd2-8821-470d-99f7-2fdacad08581</t>
  </si>
  <si>
    <t>TCGA-FB-AAQ1</t>
  </si>
  <si>
    <t>99a222c8-30d0-4876-8afc-e6d5a1254ac1</t>
  </si>
  <si>
    <t>TCGA-FB-AAQ2</t>
  </si>
  <si>
    <t>c58cd85a-1b62-4935-90cd-c3c488b35b6e</t>
  </si>
  <si>
    <t>TCGA-FB-AAQ3</t>
  </si>
  <si>
    <t>96aa6793-3382-45c5-a8fc-bced1f6f15f9</t>
  </si>
  <si>
    <t>TCGA-FB-AAQ6</t>
  </si>
  <si>
    <t>d6bed9f9-30be-465e-870a-b6bf6de32928</t>
  </si>
  <si>
    <t>TCGA-H6-8124</t>
  </si>
  <si>
    <t>3711032a-d1d7-4e71-91fc-a8008ab5bc80</t>
  </si>
  <si>
    <t>TCGA-H6-A45N</t>
  </si>
  <si>
    <t>168b4962-325b-4868-84f3-9f7c27888322</t>
  </si>
  <si>
    <t>TCGA-H8-A6C1</t>
  </si>
  <si>
    <t>8aa92da6-d315-4601-b2d8-0befdd22a5a3</t>
  </si>
  <si>
    <t>TCGA-HV-A5A3</t>
  </si>
  <si>
    <t>c07d0c1c-ebec-4528-b173-b4cbb6a92caf</t>
  </si>
  <si>
    <t>TCGA-HV-A5A4</t>
  </si>
  <si>
    <t>c7da3fe6-5882-4bf3-9c93-d9837d1e245f</t>
  </si>
  <si>
    <t>TCGA-HV-A5A5</t>
  </si>
  <si>
    <t>e61e1921-927a-4208-826f-ce5f28594a69</t>
  </si>
  <si>
    <t>TCGA-HV-A5A6</t>
  </si>
  <si>
    <t>990d64b8-3171-48d9-94bb-bffb497a8a76</t>
  </si>
  <si>
    <t>TCGA-HV-A7OL</t>
  </si>
  <si>
    <t>f7ae00c0-f6b7-4123-ba25-1e9a51050c7b</t>
  </si>
  <si>
    <t>TCGA-HV-A7OP</t>
  </si>
  <si>
    <t>5a6401a8-7886-46ec-b14b-4a269836284a</t>
  </si>
  <si>
    <t>TCGA-HV-AA8V</t>
  </si>
  <si>
    <t>c373cf4a-0ac7-45d7-9c0c-c633d9b915c7</t>
  </si>
  <si>
    <t>TCGA-HV-AA8X</t>
  </si>
  <si>
    <t>90b8b714-d048-4868-86ab-45be26897d13</t>
  </si>
  <si>
    <t>TCGA-HZ-7289</t>
  </si>
  <si>
    <t>de8f0d8c-341f-45d5-b8fb-1bdb445d278c</t>
  </si>
  <si>
    <t>TCGA-HZ-7918</t>
  </si>
  <si>
    <t>8a2f438c-93cd-43c0-97e1-28176d0b93ef</t>
  </si>
  <si>
    <t>CEL-NTRK1</t>
  </si>
  <si>
    <t>TCGA-HZ-7919</t>
  </si>
  <si>
    <t>e1bdc2e7-cca6-4dd4-8b7d-869f0ffb85b7</t>
  </si>
  <si>
    <t>TCGA-HZ-7920</t>
  </si>
  <si>
    <t>f41bbbc7-83f1-4b25-aa64-5cfb702bda2f</t>
  </si>
  <si>
    <t>TCGA-HZ-7922</t>
  </si>
  <si>
    <t>e496d0d9-e51f-49f8-a2ca-80777e0b585d</t>
  </si>
  <si>
    <t>TCGA-HZ-7923</t>
  </si>
  <si>
    <t>6ced37d6-476d-477e-8d93-b66d2219aebb</t>
  </si>
  <si>
    <t>TCGA-HZ-7924</t>
  </si>
  <si>
    <t>3874115d-ce95-4f90-aec9-3ea78dd69c7a</t>
  </si>
  <si>
    <t>TCGA-HZ-7925</t>
  </si>
  <si>
    <t>851adc03-9175-4ba9-b910-5d253865487b</t>
  </si>
  <si>
    <t>TCGA-HZ-7926</t>
  </si>
  <si>
    <t>0ffe807f-6463-4409-afa7-763aa2a1ac31</t>
  </si>
  <si>
    <t>TCGA-HZ-8001</t>
  </si>
  <si>
    <t>1e555d34-a377-4d42-82c0-5376e4a86224</t>
  </si>
  <si>
    <t>TCGA-HZ-8002</t>
  </si>
  <si>
    <t>03b62a2b-ca27-4ce0-bfc7-b28ecdbb22a4</t>
  </si>
  <si>
    <t>TCGA-HZ-8003</t>
  </si>
  <si>
    <t>10738fe5-2d2d-4548-9a41-805f2804e94a</t>
  </si>
  <si>
    <t>TCGA-HZ-8005</t>
  </si>
  <si>
    <t>a173ecc2-c9e4-4bdd-95a7-855a915c6a3d</t>
  </si>
  <si>
    <t>TCGA-HZ-8315</t>
  </si>
  <si>
    <t>7ddb9a4e-f91b-497e-9770-e671562f2025</t>
  </si>
  <si>
    <t>TCGA-HZ-8317</t>
  </si>
  <si>
    <t>1b77a433-8812-4bd9-8d58-c12e32418541</t>
  </si>
  <si>
    <t>TCGA-HZ-8519</t>
  </si>
  <si>
    <t>045c1807-df2b-4cb8-8e37-269eba60d401</t>
  </si>
  <si>
    <t>TCGA-HZ-8636</t>
  </si>
  <si>
    <t>64c4b3ae-9dea-4b86-a0f1-405f2cc8c684</t>
  </si>
  <si>
    <t>TCGA-HZ-8637</t>
  </si>
  <si>
    <t>485ce500-e501-408c-8df7-c280f5d0a523</t>
  </si>
  <si>
    <t>TCGA-HZ-8638</t>
  </si>
  <si>
    <t>3e856df6-6e52-40b0-8b72-8a5263aaa98b</t>
  </si>
  <si>
    <t>TCGA-HZ-A49G</t>
  </si>
  <si>
    <t>feb2eec7-bd0f-4a58-b1b9-9e2ef6f5b5c2</t>
  </si>
  <si>
    <t>TCGA-HZ-A49H</t>
  </si>
  <si>
    <t>fb3bd6c8-74fa-4639-a894-3e70b9812309</t>
  </si>
  <si>
    <t>TCGA-HZ-A49I</t>
  </si>
  <si>
    <t>e9b94994-4516-4500-9f0e-ff86b59cf99d</t>
  </si>
  <si>
    <t>TCGA-HZ-A4BH</t>
  </si>
  <si>
    <t>1d1b9872-dffe-405a-8cf8-1338696cede5</t>
  </si>
  <si>
    <t>TCGA-HZ-A4BK</t>
  </si>
  <si>
    <t>892e2737-506c-4645-872b-6b1b884f260e</t>
  </si>
  <si>
    <t>TCGA-HZ-A77O</t>
  </si>
  <si>
    <t>10dac41c-ae41-4890-9f40-cf43d34489c6</t>
  </si>
  <si>
    <t>TCGA-HZ-A77P</t>
  </si>
  <si>
    <t>aa071a96-6957-4bf6-a55c-3a7553c609ae</t>
  </si>
  <si>
    <t>TCGA-HZ-A77Q</t>
  </si>
  <si>
    <t>26438501-df6f-4242-a4f4-0cdfa96bc1d1</t>
  </si>
  <si>
    <t>TCGA-HZ-A8P0</t>
  </si>
  <si>
    <t>d7a4711e-e306-4233-a0fd-23894f93c983</t>
  </si>
  <si>
    <t>TCGA-HZ-A8P1</t>
  </si>
  <si>
    <t>ba409a3f-0c9e-4578-b0d0-88d41696a718</t>
  </si>
  <si>
    <t>TCGA-HZ-A9TJ</t>
  </si>
  <si>
    <t>34ce2b23-983a-4245-b074-8dfca44efd1f</t>
  </si>
  <si>
    <t>TCGA-IB-7644</t>
  </si>
  <si>
    <t>83b7e07a-f306-4c01-8948-c3fc3639560d</t>
  </si>
  <si>
    <t>TCGA-IB-7645</t>
  </si>
  <si>
    <t>eda0d9c8-7224-4604-a6bf-68c259db906c</t>
  </si>
  <si>
    <t>TCGA-IB-7646</t>
  </si>
  <si>
    <t>b489e5d7-da75-4c60-b57d-8342edf5dce0</t>
  </si>
  <si>
    <t>TCGA-IB-7649</t>
  </si>
  <si>
    <t>ffae4666-da81-4e33-9c59-3420e58ac5e3</t>
  </si>
  <si>
    <t>TCGA-IB-7651</t>
  </si>
  <si>
    <t>5ede3945-aa2d-4b70-a262-80a89e4359ab</t>
  </si>
  <si>
    <t>TCGA-IB-7652</t>
  </si>
  <si>
    <t>eda75591-4693-4c6c-84f2-42f7c4873cd2</t>
  </si>
  <si>
    <t>TCGA-IB-7654</t>
  </si>
  <si>
    <t>8944933c-cbf1-4ffd-bb87-a4e006f75a7d</t>
  </si>
  <si>
    <t>TCGA-IB-7885</t>
  </si>
  <si>
    <t>5b8f638b-4b3a-433c-8f2e-25088365dea6</t>
  </si>
  <si>
    <t>TCGA-IB-7886</t>
  </si>
  <si>
    <t>508b5eea-62df-4717-92a9-c671ba740583</t>
  </si>
  <si>
    <t>TCGA-IB-7887</t>
  </si>
  <si>
    <t>da552767-e03f-411a-86a2-ae8cabaec273</t>
  </si>
  <si>
    <t>TCGA-IB-7888</t>
  </si>
  <si>
    <t>4f174940-f9a8-4114-8c4e-c0d792cc6ae8</t>
  </si>
  <si>
    <t>TCGA-IB-7889</t>
  </si>
  <si>
    <t>debd692b-4173-4726-b4b8-ae2f41f19eff</t>
  </si>
  <si>
    <t>TCGA-IB-7890</t>
  </si>
  <si>
    <t>c94d1742-b96f-4976-9b8e-d0402f67fd15</t>
  </si>
  <si>
    <t>TCGA-IB-7891</t>
  </si>
  <si>
    <t>74665600-b83c-4094-8dc4-ab5af9f6ffd3</t>
  </si>
  <si>
    <t>TCGA-IB-7893</t>
  </si>
  <si>
    <t>e4d4d91a-423e-4a71-93a3-4ab604da992b</t>
  </si>
  <si>
    <t>TCGA-IB-7897</t>
  </si>
  <si>
    <t>e17b15e5-2c99-483c-a454-e38cf90a16cc</t>
  </si>
  <si>
    <t>TCGA-IB-8126</t>
  </si>
  <si>
    <t>5b68faba-3cbe-4ae9-9758-48e30d7035ae</t>
  </si>
  <si>
    <t>TCGA-IB-8127</t>
  </si>
  <si>
    <t>db46629a-7838-44a6-8c3c-41e38c889853</t>
  </si>
  <si>
    <t>TCGA-IB-A5SO</t>
  </si>
  <si>
    <t>e21c888c-0fd8-4c8b-afe7-63f81b798bda</t>
  </si>
  <si>
    <t>TCGA-IB-A5SP</t>
  </si>
  <si>
    <t>98f6e81a-63fb-4816-9a43-de761bed5968</t>
  </si>
  <si>
    <t>TCGA-IB-A5SQ</t>
  </si>
  <si>
    <t>956ccc51-d32a-44ff-ab92-bf11232edb34</t>
  </si>
  <si>
    <t>TCGA-IB-A5SS</t>
  </si>
  <si>
    <t>7f8e0c5a-ba26-4300-9008-8a2df6aa525d</t>
  </si>
  <si>
    <t>TCGA-IB-A5ST</t>
  </si>
  <si>
    <t>7c125425-21d5-4700-95d8-977cca275718</t>
  </si>
  <si>
    <t>TCGA-IB-A6UF</t>
  </si>
  <si>
    <t>7812e50a-c533-4aa8-acfb-4a1dca8cfe71</t>
  </si>
  <si>
    <t>TCGA-IB-A6UG</t>
  </si>
  <si>
    <t>b0682709-cc5d-4028-98fd-be5c9a564497</t>
  </si>
  <si>
    <t>TCGA-IB-A7LX</t>
  </si>
  <si>
    <t>92df3e3f-8146-4d45-b4b6-c2885c27ce0b</t>
  </si>
  <si>
    <t>TCGA-IB-A7M4</t>
  </si>
  <si>
    <t>fd65ed6c-1573-48a6-8034-25b4d34b637f</t>
  </si>
  <si>
    <t>TCGA-IB-AAUM</t>
  </si>
  <si>
    <t>6bd520b4-7ef1-4082-bad8-92d0d65e2f1a</t>
  </si>
  <si>
    <t>TCGA-IB-AAUN</t>
  </si>
  <si>
    <t>bf3b2444-17ed-47d7-8566-d31342d5881c</t>
  </si>
  <si>
    <t>TCGA-IB-AAUO</t>
  </si>
  <si>
    <t>106d1e0e-cd27-4ce9-832f-20337978200a</t>
  </si>
  <si>
    <t>TCGA-IB-AAUP</t>
  </si>
  <si>
    <t>076691eb-6c03-43e1-a458-d44f515fca63</t>
  </si>
  <si>
    <t>TCGA-IB-AAUQ</t>
  </si>
  <si>
    <t>95d7cd34-7008-4004-9c16-d952f92f2ed8</t>
  </si>
  <si>
    <t>TCGA-IB-AAUR</t>
  </si>
  <si>
    <t>f5fbecb7-da37-479b-a46f-ce56129dc523</t>
  </si>
  <si>
    <t>TCGA-IB-AAUS</t>
  </si>
  <si>
    <t>86b0c895-2d38-497b-a1c1-f1a442c3bdce</t>
  </si>
  <si>
    <t>TCGA-IB-AAUT</t>
  </si>
  <si>
    <t>07649f22-0d51-4bef-bd7e-db00aedf547a</t>
  </si>
  <si>
    <t>TCGA-IB-AAUU</t>
  </si>
  <si>
    <t>12363106-6276-4db1-a568-bb8fabf9e7bb</t>
  </si>
  <si>
    <t>TCGA-IB-AAUV</t>
  </si>
  <si>
    <t>69ee0d2e-bee3-43bf-80fd-b6a8debd6bde</t>
  </si>
  <si>
    <t>TCGA-IB-AAUW</t>
  </si>
  <si>
    <t>9ee31f10-ae7d-4254-873c-5f7474c404b8</t>
  </si>
  <si>
    <t>TCGA-L1-A7W4</t>
  </si>
  <si>
    <t>ee5eab34-8110-4db7-b2cc-ddd37d7b1eb4</t>
  </si>
  <si>
    <t>TCGA-LB-A7SX</t>
  </si>
  <si>
    <t>afe46fc2-671f-4d2c-9dc0-8d5c7428dde9</t>
  </si>
  <si>
    <t>TCGA-LB-A8F3</t>
  </si>
  <si>
    <t>5e60cee6-72fc-46f2-92dd-3f11129797a7</t>
  </si>
  <si>
    <t>TCGA-LB-A9Q5</t>
  </si>
  <si>
    <t>d58472c7-c1c7-4538-86af-530f266e96d7</t>
  </si>
  <si>
    <t>TCGA-M8-A5N4</t>
  </si>
  <si>
    <t>6e6832bc-c687-4a7c-8000-fca253c71be3</t>
  </si>
  <si>
    <t>TCGA-OE-A75W</t>
  </si>
  <si>
    <t>039ff8f9-7073-467a-a487-a25ee660e77c</t>
  </si>
  <si>
    <t>TCGA-PZ-A5RE</t>
  </si>
  <si>
    <t>999e2b4f-3ec5-4538-bdec-8cead9a3bb7b</t>
  </si>
  <si>
    <t>TCGA-Q3-A5QY</t>
  </si>
  <si>
    <t>8971cfde-2879-4c07-9f4d-c2d733803b57</t>
  </si>
  <si>
    <t>TCGA-Q3-AA2A</t>
  </si>
  <si>
    <t>7132dd73-2c19-4659-b19a-8903cdc2aab6</t>
  </si>
  <si>
    <t>TCGA-RB-A7B8</t>
  </si>
  <si>
    <t>c0e47a69-ff44-4326-a26d-accf0e2b05f7</t>
  </si>
  <si>
    <t>TCGA-RB-AA9M</t>
  </si>
  <si>
    <t>5eca47d4-ed20-4715-a59d-6ead1e9231a6</t>
  </si>
  <si>
    <t>TCGA-RL-AAAS</t>
  </si>
  <si>
    <t>ab9b82a9-fb07-4aca-bed9-0ec5a3ad4614</t>
  </si>
  <si>
    <t>TCGA-S4-A8RM</t>
  </si>
  <si>
    <t>79b216f7-0a79-4882-a9d1-894803b4ef67</t>
  </si>
  <si>
    <t>TCGA-S4-A8RO</t>
  </si>
  <si>
    <t>f3cbed00-d4e5-40de-a107-b8fbf9cda3ba</t>
  </si>
  <si>
    <t>TCGA-S4-A8RP</t>
  </si>
  <si>
    <t>f491c85a-e5e3-49c0-a940-5ea27faee1d7</t>
  </si>
  <si>
    <t>TCGA-US-A774</t>
  </si>
  <si>
    <t>dd40cc2a-143d-4d16-87b9-2cbac67b4002</t>
  </si>
  <si>
    <t>G12D, V152G</t>
  </si>
  <si>
    <t>TCGA-US-A776</t>
  </si>
  <si>
    <t>b16e4fbd-98c8-41dd-950f-295a2ff0c973</t>
  </si>
  <si>
    <t>TCGA-US-A779</t>
  </si>
  <si>
    <t>c2b034b6-00c1-4dfe-b131-2e31ec231d17</t>
  </si>
  <si>
    <t>TCGA-US-A77E</t>
  </si>
  <si>
    <t>6de6a567-1684-4113-8d3f-31968b3429c0</t>
  </si>
  <si>
    <t>TCGA-US-A77G</t>
  </si>
  <si>
    <t>183dd59a-0235-4b49-b2f7-11ebd5a26aca</t>
  </si>
  <si>
    <t>TCGA-US-A77J</t>
  </si>
  <si>
    <t>dd0b23b3-b6f6-4afa-9843-db9629f16cb5</t>
  </si>
  <si>
    <t>TCGA-XD-AAUG</t>
  </si>
  <si>
    <t>1489752a-94ec-4690-ab6b-a71436ae43ea</t>
  </si>
  <si>
    <t>TCGA-XD-AAUH</t>
  </si>
  <si>
    <t>072f0f9c-580a-489a-bbd2-80802a6d5dce</t>
  </si>
  <si>
    <t>TCGA-XD-AAUI</t>
  </si>
  <si>
    <t>8a98995b-5a5c-4dc2-86ba-24218e77f08f</t>
  </si>
  <si>
    <t>TCGA-XD-AAUL</t>
  </si>
  <si>
    <t>e18ffc9a-45ef-487a-a4b2-d7479188beb2</t>
  </si>
  <si>
    <t>TCGA-XN-A8T3</t>
  </si>
  <si>
    <t>1585e078-72f1-4175-96ef-8edf375ef847</t>
  </si>
  <si>
    <t>TCGA-XN-A8T5</t>
  </si>
  <si>
    <t>6ba0a6bc-2d23-436e-9a86-0d8e43374dab</t>
  </si>
  <si>
    <t>TCGA-YB-A89D</t>
  </si>
  <si>
    <t>f8af732d-591f-4ccb-9ea7-19188d101bfd</t>
  </si>
  <si>
    <t>TCGA-YH-A8SY</t>
  </si>
  <si>
    <t>0660e756-f5d7-4c40-bf6c-b16c1998c489</t>
  </si>
  <si>
    <t>TCGA-YY-A8LH</t>
  </si>
  <si>
    <t>c2ec8926-de77-4c56-aaeb-d39f6a0cbc00</t>
  </si>
  <si>
    <t>TCGA-Z5-AAPL</t>
  </si>
  <si>
    <t>c018a367-905d-40bb-87aa-22d653073c09</t>
  </si>
  <si>
    <t>This study
EGAD00001005069</t>
  </si>
  <si>
    <t>Patient A</t>
  </si>
  <si>
    <t>EGAF00002486941</t>
  </si>
  <si>
    <t>RASGRP1-ATP1A1</t>
  </si>
  <si>
    <t>Heining et al.
EGAD00001004068</t>
  </si>
  <si>
    <t>Patient 1</t>
  </si>
  <si>
    <t>EGAF00001984697</t>
  </si>
  <si>
    <t>Patient 2</t>
  </si>
  <si>
    <t>EGAF00001984700</t>
  </si>
  <si>
    <t>Patient 3</t>
  </si>
  <si>
    <t>EGAF00001984703</t>
  </si>
  <si>
    <t>Patient 4</t>
  </si>
  <si>
    <t>EGAF00001984706</t>
  </si>
  <si>
    <t>Patient 5</t>
  </si>
  <si>
    <t>EGAF00001984747</t>
  </si>
  <si>
    <t>Patient 7</t>
  </si>
  <si>
    <t>EGAF00001984711</t>
  </si>
  <si>
    <t>Patient 8</t>
  </si>
  <si>
    <t>EGAF00001984714</t>
  </si>
  <si>
    <t>Patient 9</t>
  </si>
  <si>
    <t>EGAF00001984717</t>
  </si>
  <si>
    <t>Patient 10</t>
  </si>
  <si>
    <t>EGAF00001984720</t>
  </si>
  <si>
    <t>Patient 11</t>
  </si>
  <si>
    <t>EGAF00001984727</t>
  </si>
  <si>
    <t>Patient 12</t>
  </si>
  <si>
    <t>EGAF00001984733</t>
  </si>
  <si>
    <t>Patient 13</t>
  </si>
  <si>
    <t>EGAF00001984736</t>
  </si>
  <si>
    <t>Patient 14</t>
  </si>
  <si>
    <t>EGAF00001984739</t>
  </si>
  <si>
    <t>Patient 15</t>
  </si>
  <si>
    <t>EGAF00001984744</t>
  </si>
  <si>
    <t>NRG1-CDH6</t>
  </si>
  <si>
    <t>Patient 17</t>
  </si>
  <si>
    <t>EGAF00001984730</t>
  </si>
  <si>
    <t>NCOA4-RET</t>
  </si>
  <si>
    <t>PDCM</t>
  </si>
  <si>
    <t>EGAF00001984748</t>
  </si>
  <si>
    <t>Witkiewicz et al.
SRP077921</t>
  </si>
  <si>
    <t>EMC114</t>
  </si>
  <si>
    <t>SRR3743549, SRR3743560</t>
  </si>
  <si>
    <t>EMC1222</t>
  </si>
  <si>
    <t>SRR3743551, SRR3743552, SRR3743561, SRR3743568, SRR3743582, SRR3743583, SRR3743584, SRR3743537, SRR3743544, SRR3743547</t>
  </si>
  <si>
    <t>EMC1229</t>
  </si>
  <si>
    <t>SRR3743543</t>
  </si>
  <si>
    <t>EMC18128</t>
  </si>
  <si>
    <t>SRR3743572, SRR3743539, SRR3743570, SRR3743571</t>
  </si>
  <si>
    <t>G12R, G12V</t>
  </si>
  <si>
    <t>EMC2095</t>
  </si>
  <si>
    <t>SRR3743596, SRR3743540, SRR3743594, SRR3743595</t>
  </si>
  <si>
    <t>EMC226</t>
  </si>
  <si>
    <t>SRR3743555, SRR3743556, SRR3743557, SRR3743569, SRR3743585, SRR3743586, SRR3743587, SRR3743550, SRR3743553, SRR3743554</t>
  </si>
  <si>
    <t>EMC29</t>
  </si>
  <si>
    <t>SRR3743588, SRR3743589, SRR3743590, SRR3743558, SRR3743559, SRR3743562</t>
  </si>
  <si>
    <t>EMC3226</t>
  </si>
  <si>
    <t>SRR3743541</t>
  </si>
  <si>
    <t>EMC41</t>
  </si>
  <si>
    <t>SRR3743542, SRR3743548</t>
  </si>
  <si>
    <t>EMC43</t>
  </si>
  <si>
    <t>SRR3743598, SRR3743599, SRR3743533, SRR3743534, SRR3743597</t>
  </si>
  <si>
    <t>EMC514</t>
  </si>
  <si>
    <t>SRR3743538</t>
  </si>
  <si>
    <t>EMC519</t>
  </si>
  <si>
    <t>SRR3743575, SRR3743563, SRR3743573, SRR3743574</t>
  </si>
  <si>
    <t>EMC7310</t>
  </si>
  <si>
    <t>SRR3743578, SRR3743564, SRR3743576, SRR3743577</t>
  </si>
  <si>
    <t>EMC810</t>
  </si>
  <si>
    <t>SRR3743591, SRR3743592, SRR3743593</t>
  </si>
  <si>
    <t>EMC827</t>
  </si>
  <si>
    <t>SRR3743600, SRR3743601, SRR3743602</t>
  </si>
  <si>
    <t>EMC828</t>
  </si>
  <si>
    <t>SRR3743566, SRR3743567, SRR3743579, SRR3743580, SRR3743581, SRR3743545, SRR3743546, SRR3743565</t>
  </si>
  <si>
    <t>EMCT2</t>
  </si>
  <si>
    <t>SRR3743604, SRR3743605, SRR3743535, SRR3743536, SRR3743603</t>
  </si>
  <si>
    <t>Lin et al.
SRP161484</t>
  </si>
  <si>
    <t>SRR7818905</t>
  </si>
  <si>
    <t>SRR7818906</t>
  </si>
  <si>
    <t>SRR7818907</t>
  </si>
  <si>
    <t>SRR7818908</t>
  </si>
  <si>
    <t>SRR7818909</t>
  </si>
  <si>
    <t>Patient 6</t>
  </si>
  <si>
    <t>SRR7818910</t>
  </si>
  <si>
    <t>SRR7818911</t>
  </si>
  <si>
    <t>SRR7818912</t>
  </si>
  <si>
    <t>SRR7818913</t>
  </si>
  <si>
    <t>SRR7818914</t>
  </si>
  <si>
    <t>Maurer et al.
SRP096338</t>
  </si>
  <si>
    <t>CUMC1</t>
  </si>
  <si>
    <t>SRR5163409, SRR5163410</t>
  </si>
  <si>
    <t>G13C(?)</t>
  </si>
  <si>
    <t>CUMC3</t>
  </si>
  <si>
    <t>SRR5163413</t>
  </si>
  <si>
    <t>CUMC5</t>
  </si>
  <si>
    <t>SRR5163415</t>
  </si>
  <si>
    <t>CUMC7</t>
  </si>
  <si>
    <t>SRR5163417</t>
  </si>
  <si>
    <t>CUMC9</t>
  </si>
  <si>
    <t>SRR5163419</t>
  </si>
  <si>
    <t>G12R(?)</t>
  </si>
  <si>
    <t>CUMC11</t>
  </si>
  <si>
    <t>SRR5163421</t>
  </si>
  <si>
    <t>CUMC14</t>
  </si>
  <si>
    <t>SRR5163425</t>
  </si>
  <si>
    <t>CUMC16</t>
  </si>
  <si>
    <t>SRR5163427, SRR5163428</t>
  </si>
  <si>
    <t>CUMC18</t>
  </si>
  <si>
    <t>SRR5163431, SRR5163432</t>
  </si>
  <si>
    <t>CUMC20</t>
  </si>
  <si>
    <t>SRR5163435, SRR5163436</t>
  </si>
  <si>
    <t>G12V(?)</t>
  </si>
  <si>
    <t>CUMC22</t>
  </si>
  <si>
    <t>SRR5163439, SRR5163440</t>
  </si>
  <si>
    <t>CUMC23</t>
  </si>
  <si>
    <t>SRR5163441</t>
  </si>
  <si>
    <t>CUMC24</t>
  </si>
  <si>
    <t>SRR5163442</t>
  </si>
  <si>
    <t>CUMC27</t>
  </si>
  <si>
    <t>SRR5163445</t>
  </si>
  <si>
    <t>CUMC29</t>
  </si>
  <si>
    <t>SRR5163447</t>
  </si>
  <si>
    <t>CUMC31</t>
  </si>
  <si>
    <t>SRR5163449</t>
  </si>
  <si>
    <t>G12D, R149S</t>
  </si>
  <si>
    <t>CUMC33</t>
  </si>
  <si>
    <t>SRR5163451</t>
  </si>
  <si>
    <t>G12D(?), E143D</t>
  </si>
  <si>
    <t>CUMC35</t>
  </si>
  <si>
    <t>SRR5163453</t>
  </si>
  <si>
    <t>CUMC37</t>
  </si>
  <si>
    <t>SRR5163455</t>
  </si>
  <si>
    <t>CUMC39</t>
  </si>
  <si>
    <t>SRR5163457</t>
  </si>
  <si>
    <t>CUMC41</t>
  </si>
  <si>
    <t>SRR5163459</t>
  </si>
  <si>
    <t>CUMC43</t>
  </si>
  <si>
    <t>SRR5163461</t>
  </si>
  <si>
    <t>CUMC45</t>
  </si>
  <si>
    <t>SRR5163463</t>
  </si>
  <si>
    <t>CUMC47</t>
  </si>
  <si>
    <t>SRR5163465</t>
  </si>
  <si>
    <t>CUMC49</t>
  </si>
  <si>
    <t>SRR5163467</t>
  </si>
  <si>
    <t>CUMC51</t>
  </si>
  <si>
    <t>SRR5163469</t>
  </si>
  <si>
    <t>CUMC52</t>
  </si>
  <si>
    <t>SRR5163470</t>
  </si>
  <si>
    <t>CUMC55</t>
  </si>
  <si>
    <t>SRR5163473</t>
  </si>
  <si>
    <t>CUMC58</t>
  </si>
  <si>
    <t>SRR5163476</t>
  </si>
  <si>
    <t>CUMC59</t>
  </si>
  <si>
    <t>SRR5163477</t>
  </si>
  <si>
    <t>CUMC61</t>
  </si>
  <si>
    <t>SRR5163479</t>
  </si>
  <si>
    <t>CUMC63</t>
  </si>
  <si>
    <t>SRR5163481</t>
  </si>
  <si>
    <t>G12D, F78L</t>
  </si>
  <si>
    <t>CUMC65</t>
  </si>
  <si>
    <t>SRR5163483</t>
  </si>
  <si>
    <t>CUMC67</t>
  </si>
  <si>
    <t>SRR5163485</t>
  </si>
  <si>
    <t>CUMC69</t>
  </si>
  <si>
    <t>SRR5163487</t>
  </si>
  <si>
    <t>CUMC71</t>
  </si>
  <si>
    <t>SRR5163489</t>
  </si>
  <si>
    <t>CUMC73</t>
  </si>
  <si>
    <t>SRR5163491</t>
  </si>
  <si>
    <t>CUMC75</t>
  </si>
  <si>
    <t>SRR5163493</t>
  </si>
  <si>
    <t>CUMC77</t>
  </si>
  <si>
    <t>SRR5163495</t>
  </si>
  <si>
    <t>CUMC79</t>
  </si>
  <si>
    <t>SRR5163497</t>
  </si>
  <si>
    <t>CUMC81</t>
  </si>
  <si>
    <t>SRR5163499</t>
  </si>
  <si>
    <t>G12V, S65G</t>
  </si>
  <si>
    <t>CUMC83</t>
  </si>
  <si>
    <t>SRR5163501</t>
  </si>
  <si>
    <t>CUMC85</t>
  </si>
  <si>
    <t>SRR5163503</t>
  </si>
  <si>
    <t>CUMC87</t>
  </si>
  <si>
    <t>SRR5163505</t>
  </si>
  <si>
    <t>G13P,</t>
  </si>
  <si>
    <t>CUMC89</t>
  </si>
  <si>
    <t>SRR5163507</t>
  </si>
  <si>
    <t>CUMC91</t>
  </si>
  <si>
    <t>SRR5163509</t>
  </si>
  <si>
    <t>CUMC93</t>
  </si>
  <si>
    <t>SRR5163511</t>
  </si>
  <si>
    <t>CUMC95</t>
  </si>
  <si>
    <t>SRR5163513</t>
  </si>
  <si>
    <t>CUMC97</t>
  </si>
  <si>
    <t>SRR5163515</t>
  </si>
  <si>
    <t>CUMC99</t>
  </si>
  <si>
    <t>SRR5163517</t>
  </si>
  <si>
    <t>CUMC101</t>
  </si>
  <si>
    <t>SRR5163519</t>
  </si>
  <si>
    <t>CUMC103</t>
  </si>
  <si>
    <t>SRR5163521</t>
  </si>
  <si>
    <t>CUMC105</t>
  </si>
  <si>
    <t>SRR5163523</t>
  </si>
  <si>
    <t>CUMC107</t>
  </si>
  <si>
    <t>SRR5163525</t>
  </si>
  <si>
    <t>CUMC109</t>
  </si>
  <si>
    <t>SRR5163527</t>
  </si>
  <si>
    <t>CUMC111</t>
  </si>
  <si>
    <t>SRR5163529</t>
  </si>
  <si>
    <t>CUMC113</t>
  </si>
  <si>
    <t>SRR5163531</t>
  </si>
  <si>
    <t>CUMC115</t>
  </si>
  <si>
    <t>SRR5163533</t>
  </si>
  <si>
    <t>G12V, M111I</t>
  </si>
  <si>
    <t>CUMC117</t>
  </si>
  <si>
    <t>SRR5163535</t>
  </si>
  <si>
    <t>CUMC119</t>
  </si>
  <si>
    <t>SRR5163537</t>
  </si>
  <si>
    <t>CUMC121</t>
  </si>
  <si>
    <t>SRR5163539</t>
  </si>
  <si>
    <t>CUMC123</t>
  </si>
  <si>
    <t>SRR5163541</t>
  </si>
  <si>
    <t>CUMC125</t>
  </si>
  <si>
    <t>SRR5163543</t>
  </si>
  <si>
    <t>CUMC126</t>
  </si>
  <si>
    <t>SRR5163544</t>
  </si>
  <si>
    <t>CUMC127</t>
  </si>
  <si>
    <t>SRR5163545</t>
  </si>
  <si>
    <t>CUMC128</t>
  </si>
  <si>
    <t>SRR5163546</t>
  </si>
  <si>
    <t>CUMC129</t>
  </si>
  <si>
    <t>SRR5163547</t>
  </si>
  <si>
    <t>CUMC130</t>
  </si>
  <si>
    <t>SRR5163548</t>
  </si>
  <si>
    <t>CUMC131</t>
  </si>
  <si>
    <t>SRR5163549</t>
  </si>
  <si>
    <t>CUMC133</t>
  </si>
  <si>
    <t>SRR5163551</t>
  </si>
  <si>
    <t>G12S(?)</t>
  </si>
  <si>
    <t>CUMC135</t>
  </si>
  <si>
    <t>SRR5163553</t>
  </si>
  <si>
    <t>CUMC137</t>
  </si>
  <si>
    <t>SRR5163555</t>
  </si>
  <si>
    <t>CUMC139</t>
  </si>
  <si>
    <t>SRR5163557</t>
  </si>
  <si>
    <t>Q61K(?)</t>
  </si>
  <si>
    <t>CUMC141</t>
  </si>
  <si>
    <t>SRR5163559</t>
  </si>
  <si>
    <t>CUMC153</t>
  </si>
  <si>
    <t>SRR5163571</t>
  </si>
  <si>
    <t>CUMC154</t>
  </si>
  <si>
    <t>SRR5163572</t>
  </si>
  <si>
    <t>CUMC155</t>
  </si>
  <si>
    <t>SRR5163573</t>
  </si>
  <si>
    <t>CUMC156</t>
  </si>
  <si>
    <t>SRR5163574</t>
  </si>
  <si>
    <t>CUMC157</t>
  </si>
  <si>
    <t>SRR5163575</t>
  </si>
  <si>
    <t>G12L</t>
  </si>
  <si>
    <t>CUMC158</t>
  </si>
  <si>
    <t>SRR5163576</t>
  </si>
  <si>
    <t>CUMC159</t>
  </si>
  <si>
    <t>SRR5163577</t>
  </si>
  <si>
    <t>SRP158639</t>
  </si>
  <si>
    <t>PC0002T</t>
  </si>
  <si>
    <t>SRR7741915</t>
  </si>
  <si>
    <t>PC0004T</t>
  </si>
  <si>
    <t>SRR7741914</t>
  </si>
  <si>
    <t>PC0005C</t>
  </si>
  <si>
    <t>SRR7741917</t>
  </si>
  <si>
    <t>PC0008C</t>
  </si>
  <si>
    <t>SRR7741916</t>
  </si>
  <si>
    <t>PC0010T</t>
  </si>
  <si>
    <t>SRR7741911</t>
  </si>
  <si>
    <t>PC0015T</t>
  </si>
  <si>
    <t>SRR7741910</t>
  </si>
  <si>
    <t>PC0016T</t>
  </si>
  <si>
    <t>SRR7741913</t>
  </si>
  <si>
    <t>PC0017M</t>
  </si>
  <si>
    <t>SRR7741912</t>
  </si>
  <si>
    <t>PC0018C</t>
  </si>
  <si>
    <t>SRR7741919</t>
  </si>
  <si>
    <t>PC00216944T</t>
  </si>
  <si>
    <t>SRR7741918</t>
  </si>
  <si>
    <t>PC00881016T</t>
  </si>
  <si>
    <t>SRR7741889</t>
  </si>
  <si>
    <t>PC00912481T</t>
  </si>
  <si>
    <t>SRR7741888</t>
  </si>
  <si>
    <t>PC14112102C</t>
  </si>
  <si>
    <t>SRR7741887</t>
  </si>
  <si>
    <t>PC14112401C</t>
  </si>
  <si>
    <t>SRR7741886</t>
  </si>
  <si>
    <t>PC15031901T</t>
  </si>
  <si>
    <t>SRR7741885</t>
  </si>
  <si>
    <t>PC15032001T</t>
  </si>
  <si>
    <t>SRR7741884</t>
  </si>
  <si>
    <t>PC15032302T</t>
  </si>
  <si>
    <t>SRR7741883</t>
  </si>
  <si>
    <t>PC15032503T</t>
  </si>
  <si>
    <t>SRR7741882</t>
  </si>
  <si>
    <t>PC15040801T</t>
  </si>
  <si>
    <t>SRR7741890</t>
  </si>
  <si>
    <t>G12D, V14A</t>
  </si>
  <si>
    <t>PC15042202T</t>
  </si>
  <si>
    <t>SRR7741909</t>
  </si>
  <si>
    <t>PC15051201T</t>
  </si>
  <si>
    <t>SRR7741906</t>
  </si>
  <si>
    <t>PC15051801T</t>
  </si>
  <si>
    <t>SRR7741904</t>
  </si>
  <si>
    <t>PC15051803T</t>
  </si>
  <si>
    <t>SRR7741902</t>
  </si>
  <si>
    <t>PC15051901T</t>
  </si>
  <si>
    <t>SRR7741903</t>
  </si>
  <si>
    <t>PC15052004T</t>
  </si>
  <si>
    <t>SRR7741900</t>
  </si>
  <si>
    <t>PC15052203T</t>
  </si>
  <si>
    <t>SRR7741901</t>
  </si>
  <si>
    <t>PC15052503T</t>
  </si>
  <si>
    <t>SRR7741881</t>
  </si>
  <si>
    <t>PC15052601T</t>
  </si>
  <si>
    <t>SRR7741875</t>
  </si>
  <si>
    <t>PC15052703T</t>
  </si>
  <si>
    <t>SRR7741874</t>
  </si>
  <si>
    <t>PC15052704T</t>
  </si>
  <si>
    <t>SRR7741877</t>
  </si>
  <si>
    <t>PC15060101T</t>
  </si>
  <si>
    <t>SRR7741876</t>
  </si>
  <si>
    <t>PC15060402T</t>
  </si>
  <si>
    <t>SRR7741873</t>
  </si>
  <si>
    <t>PC15060502T</t>
  </si>
  <si>
    <t>SRR7741872</t>
  </si>
  <si>
    <t>PC15060802T</t>
  </si>
  <si>
    <t>SRR7741898</t>
  </si>
  <si>
    <t>PC15060804T</t>
  </si>
  <si>
    <t>SRR7741899</t>
  </si>
  <si>
    <t>PC15061602T</t>
  </si>
  <si>
    <t>SRR7741892</t>
  </si>
  <si>
    <t>PC15061702T</t>
  </si>
  <si>
    <t>SRR7741893</t>
  </si>
  <si>
    <t>PC15061703T</t>
  </si>
  <si>
    <t>SRR7741894</t>
  </si>
  <si>
    <t>PC15062601T</t>
  </si>
  <si>
    <t>SRR7741895</t>
  </si>
  <si>
    <t>PC15062602T</t>
  </si>
  <si>
    <t>SRR7741896</t>
  </si>
  <si>
    <t>Y0004T</t>
  </si>
  <si>
    <t>SRR7741897</t>
  </si>
  <si>
    <t>Benchmark nr</t>
  </si>
  <si>
    <t>Link</t>
  </si>
  <si>
    <t>https://github.com/fusiontranscripts/FusionBenchmarking .</t>
  </si>
  <si>
    <t>https://github.com/STAR-Fusion/STAR-Fusion_benchmarking_data</t>
  </si>
  <si>
    <t>https://pubmed.ncbi.nlm.nih.gov/33944895/</t>
  </si>
  <si>
    <t>https://www.frontiersin.org/articles/10.3389/fmolb.2023.1141310/full</t>
  </si>
  <si>
    <t>FusionSimulatorToolkit</t>
  </si>
  <si>
    <t>Haas BJ. Fusion Transcript Simulation Toolkit 2019. Available from: https://github.com/FusionSimulatorToolkit/FusionSimulatorToolkit/wiki.</t>
  </si>
  <si>
    <t>Benchmarker for Evaluating the Effectiveness of RNA-seq software (BEERS) simulator (Grant et al., 2011) by the authors of JAFFA (Davidson et al., 2015), </t>
  </si>
  <si>
    <t>Fusion Transcript Simulation Toolkit (Haas et al., 2019).</t>
  </si>
  <si>
    <t>Narzędzie</t>
  </si>
  <si>
    <t>Docker</t>
  </si>
  <si>
    <t>https://hub.docker.com/r/uhrigs/arriba</t>
  </si>
  <si>
    <t>https://github.com/STAR-Fusion/STAR-Fusion/blob/master/Docker/Dockerfile</t>
  </si>
  <si>
    <t>https://hub.docker.com/r/cgrlab/fusioncatcher</t>
  </si>
  <si>
    <t>https://hub.docker.com/r/cgrlab/ericscript</t>
  </si>
  <si>
    <t>https://github.com/fluid-project/infusion</t>
  </si>
  <si>
    <t>https://registry.hub.docker.com/r/kfdrc/pizzly</t>
  </si>
  <si>
    <t>https://hub.docker.com/r/jpfeil/mapsplice2/tags</t>
  </si>
  <si>
    <t>https://github.com/Oshlack/JAFFA/blob/master/docker/Dockerfile</t>
  </si>
  <si>
    <t>https://github.com/Chimera-tools/ChimPipe</t>
  </si>
  <si>
    <t>https://hub.docker.com/r/eagenomics/starseqr</t>
  </si>
  <si>
    <t>https://hub.docker.com/r/aarjunrao/fusion-inspector</t>
  </si>
  <si>
    <t>https://hub.docker.com/r/jeltje/defuse</t>
  </si>
  <si>
    <t>https://hub.docker.com/r/cplaisier/oncomerge</t>
  </si>
  <si>
    <t>Dataset9.1</t>
  </si>
  <si>
    <t>Dataset9.2</t>
  </si>
  <si>
    <t>Dataset9.3</t>
  </si>
  <si>
    <t>https://www.ncbi.nlm.nih.gov/sra/?term=SRP003186</t>
  </si>
  <si>
    <t>https://trace.ncbi.nlm.nih.gov/Traces/?view=run_browser&amp;acc=SRR521477&amp;display=download</t>
  </si>
  <si>
    <t>Dataset8.5</t>
  </si>
  <si>
    <t>https://www.ncbi.nlm.nih.gov/sra/?term=SRR1657556</t>
  </si>
  <si>
    <t>https://www.ncbi.nlm.nih.gov/sra/?term=SRR1657557</t>
  </si>
  <si>
    <t>Pre-processing of data</t>
  </si>
  <si>
    <t>Reproducilibity</t>
  </si>
  <si>
    <t>version</t>
  </si>
  <si>
    <t>Code available</t>
  </si>
  <si>
    <t>Parameters disclosed</t>
  </si>
  <si>
    <t>Workflow (CWL/Snakemake)</t>
  </si>
  <si>
    <t>Docker/Singularity</t>
  </si>
  <si>
    <t>Fully reproducible?</t>
  </si>
  <si>
    <t>New tool?</t>
  </si>
  <si>
    <t>TP/FP/FN available?</t>
  </si>
  <si>
    <t>Output available (list of fusions)?</t>
  </si>
  <si>
    <t>Input available?</t>
  </si>
  <si>
    <t>Benchmark 1</t>
  </si>
  <si>
    <t>Haas</t>
  </si>
  <si>
    <r>
      <rPr>
        <sz val="12"/>
        <color theme="1"/>
        <rFont val="Calibri"/>
        <family val="2"/>
      </rPr>
      <t>For each method, we used i</t>
    </r>
    <r>
      <rPr>
        <b/>
        <sz val="12"/>
        <color theme="1"/>
        <rFont val="Calibri"/>
        <family val="2"/>
      </rPr>
      <t>ts own recommended alignment</t>
    </r>
    <r>
      <rPr>
        <sz val="12"/>
        <color theme="1"/>
        <rFont val="Calibri"/>
        <family val="2"/>
      </rPr>
      <t xml:space="preserve"> and analysis strategy and parameters, as implemented in its respective package.</t>
    </r>
  </si>
  <si>
    <t>All benchmarking software and data are freely available at https://github.com/fusiontranscripts/FusionBenchmarking .</t>
  </si>
  <si>
    <t>GitHub</t>
  </si>
  <si>
    <t>Yes (Additional file 1: Table S7)</t>
  </si>
  <si>
    <t>No</t>
  </si>
  <si>
    <t>Yes</t>
  </si>
  <si>
    <t>yes, STAR-Fusion and TrinityFusion</t>
  </si>
  <si>
    <t>Benchmark 2</t>
  </si>
  <si>
    <t>Uhrig</t>
  </si>
  <si>
    <t>All fusion detection tools were run with default parameters with the following exceptions: The parameter -junL of PRADA has no default value and was set to 80% of the read length as recommended by the developers. For benchmarks regarding the detection of fusions with intergenic breakpoints, InFusion was executed with the parameters ‐‐allow-intronic, ‐‐allow-intergenic, and ‐‐allow-non-coding. Otherwise, InFusion does not call this type of events. By default, FusionCatcher uses an internal list of known oncogenic fusions to improve sensitivity. For an unbiased benchmark that is more reflective of FusionCatcher's sensitivity for de novo fusion discovery, we disabled this list by calling FusionCatcher with the parameter ‐‐skip-known-fusions. In addition, the default value of the parameter ‐‐allowed-labels of the script extract_fusion_genes.py had to be emptied for the parameter ‐‐skip-known-fusions to take effect.</t>
  </si>
  <si>
    <t>there's no benchmarking tool</t>
  </si>
  <si>
    <t>yes, Arriba</t>
  </si>
  <si>
    <t>Benchmark 3</t>
  </si>
  <si>
    <t>Kumar</t>
  </si>
  <si>
    <r>
      <rPr>
        <sz val="12"/>
        <color theme="1"/>
        <rFont val="Calibri"/>
        <family val="2"/>
      </rPr>
      <t xml:space="preserve">All of the software packages were run using </t>
    </r>
    <r>
      <rPr>
        <b/>
        <sz val="12"/>
        <color theme="1"/>
        <rFont val="Calibri"/>
        <family val="2"/>
      </rPr>
      <t xml:space="preserve">a default configuration of each tool </t>
    </r>
    <r>
      <rPr>
        <sz val="12"/>
        <color theme="1"/>
        <rFont val="Calibri"/>
        <family val="2"/>
      </rPr>
      <t>with SLURM (Simple Linux Utility for Resource Management) scripts.</t>
    </r>
  </si>
  <si>
    <t>Benchmark 4</t>
  </si>
  <si>
    <t>Balan</t>
  </si>
  <si>
    <t>no info</t>
  </si>
  <si>
    <t>Benchmarking was performed for SeekFusion, JAFFA-hybrid (Davidson et al., 2015), STAR-Fusion (Haas et al., 2019) and TOPHAT-Fusion (Kim and Salzberg, 2011), mirroring benchmarking analyses performed by the STAR-Fusion study (FusionBenchmarking)</t>
  </si>
  <si>
    <t>Yes (limited)</t>
  </si>
  <si>
    <t>yes, SeekFusion</t>
  </si>
  <si>
    <t>Zhao</t>
  </si>
  <si>
    <t>No or minimal</t>
  </si>
  <si>
    <t>yes, GFusion</t>
  </si>
  <si>
    <t>Benchmark 6</t>
  </si>
  <si>
    <t>Vu</t>
  </si>
  <si>
    <r>
      <rPr>
        <sz val="12"/>
        <color theme="1"/>
        <rFont val="Calibri"/>
        <family val="2"/>
      </rPr>
      <t xml:space="preserve">We used </t>
    </r>
    <r>
      <rPr>
        <b/>
        <sz val="12"/>
        <color theme="1"/>
        <rFont val="Calibri"/>
        <family val="2"/>
      </rPr>
      <t>default mapper</t>
    </r>
    <r>
      <rPr>
        <sz val="12"/>
        <color theme="1"/>
        <rFont val="Calibri"/>
        <family val="2"/>
      </rPr>
      <t>. For other setting parameters, the default values are used.</t>
    </r>
  </si>
  <si>
    <t>yes, FuSeq</t>
  </si>
  <si>
    <t>Benchmark 7</t>
  </si>
  <si>
    <t>Singh</t>
  </si>
  <si>
    <r>
      <rPr>
        <sz val="12"/>
        <color theme="1"/>
        <rFont val="Calibri"/>
        <family val="2"/>
      </rPr>
      <t xml:space="preserve">For all of the software, we used </t>
    </r>
    <r>
      <rPr>
        <b/>
        <sz val="12"/>
        <color theme="1"/>
        <rFont val="Calibri"/>
        <family val="2"/>
      </rPr>
      <t>default parameters</t>
    </r>
    <r>
      <rPr>
        <sz val="12"/>
        <color theme="1"/>
        <rFont val="Calibri"/>
        <family val="2"/>
      </rPr>
      <t xml:space="preserve"> (or default configuration file) to run their pipeline in order to make the comparisons fair.</t>
    </r>
  </si>
  <si>
    <t>The list of 16 fusion RNA prediction software packages benchmarked in this study, and the detailed information including versions of the software used, and commands to run all of the software is given in supplementary file 1.</t>
  </si>
  <si>
    <t>Benchmark 8</t>
  </si>
  <si>
    <t>Apostolides</t>
  </si>
  <si>
    <r>
      <rPr>
        <sz val="12"/>
        <color theme="1"/>
        <rFont val="Calibri"/>
        <family val="2"/>
      </rPr>
      <t xml:space="preserve">We analysed the six datasets using each of the callers </t>
    </r>
    <r>
      <rPr>
        <b/>
        <sz val="12"/>
        <color theme="1"/>
        <rFont val="Calibri"/>
        <family val="2"/>
      </rPr>
      <t>with default parameters</t>
    </r>
  </si>
  <si>
    <t>Each caller is independently run on the input data to generate its own fusion calls. MetaFusion is a free software tool implemented in Python and R, with bash scripts used as wrappers. The source code is available at https://github.com/ccmbioinfo/MetaFusion. (recommendation for FusionBenchmarking)</t>
  </si>
  <si>
    <t>Yes (tool only)</t>
  </si>
  <si>
    <t>yes, MetaFusion</t>
  </si>
  <si>
    <t>Benchmark 9</t>
  </si>
  <si>
    <t>Zhang</t>
  </si>
  <si>
    <r>
      <rPr>
        <sz val="12"/>
        <color theme="1"/>
        <rFont val="Calibri"/>
        <family val="2"/>
      </rPr>
      <t xml:space="preserve">We found that </t>
    </r>
    <r>
      <rPr>
        <b/>
        <sz val="12"/>
        <color theme="1"/>
        <rFont val="Calibri"/>
        <family val="2"/>
      </rPr>
      <t>different alignment tools affected the final list of gene fusion predictions.</t>
    </r>
    <r>
      <rPr>
        <sz val="12"/>
        <color theme="1"/>
        <rFont val="Calibri"/>
        <family val="2"/>
      </rPr>
      <t xml:space="preserve"> Using alignments from GSNAP, TopHat2, and STAR and running INTEGRATE with </t>
    </r>
    <r>
      <rPr>
        <b/>
        <sz val="12"/>
        <color theme="1"/>
        <rFont val="Calibri"/>
        <family val="2"/>
      </rPr>
      <t>default parameters</t>
    </r>
  </si>
  <si>
    <t>yes, INTEGRATE</t>
  </si>
  <si>
    <t>Benchmark 10</t>
  </si>
  <si>
    <t>Davidson</t>
  </si>
  <si>
    <t xml:space="preserve">Running parameters for each tool can be found in Additional file 1: Methods 2 </t>
  </si>
  <si>
    <t>yes, JAFFA</t>
  </si>
  <si>
    <t>Gold standard</t>
  </si>
  <si>
    <t>Ground truth type</t>
  </si>
  <si>
    <t>Experimentally validated?</t>
  </si>
  <si>
    <t>Notes</t>
  </si>
  <si>
    <r>
      <rPr>
        <sz val="12"/>
        <color theme="1"/>
        <rFont val="Calibri"/>
        <family val="2"/>
      </rPr>
      <t xml:space="preserve">real cancer transcriptome data </t>
    </r>
    <r>
      <rPr>
        <b/>
        <sz val="12"/>
        <color theme="1"/>
        <rFont val="Calibri"/>
        <family val="2"/>
      </rPr>
      <t>without a priori defined gold standard</t>
    </r>
    <r>
      <rPr>
        <sz val="12"/>
        <color theme="1"/>
        <rFont val="Calibri"/>
        <family val="2"/>
      </rPr>
      <t xml:space="preserve"> truth sets. As an alternative, we pursued a “wisdom of crowds” approach</t>
    </r>
  </si>
  <si>
    <t>No defined truth set / “wisdom of crowds”</t>
  </si>
  <si>
    <t>Heuristic only</t>
  </si>
  <si>
    <r>
      <rPr>
        <sz val="12"/>
        <color theme="1"/>
        <rFont val="Calibri"/>
        <family val="2"/>
      </rPr>
      <t xml:space="preserve">We considered a prediction to be a true positive if </t>
    </r>
    <r>
      <rPr>
        <b/>
        <sz val="12"/>
        <color theme="1"/>
        <rFont val="Calibri"/>
        <family val="2"/>
      </rPr>
      <t>the fusion partners matched a list of validated fusions</t>
    </r>
    <r>
      <rPr>
        <sz val="12"/>
        <color theme="1"/>
        <rFont val="Calibri"/>
        <family val="2"/>
      </rPr>
      <t xml:space="preserve"> or if the breakpoints were within a distance of 100 kb from a structural variant detected in a matched WGS sample. </t>
    </r>
  </si>
  <si>
    <t>Proxy-based (e.g. SV overlap, simulation)</t>
  </si>
  <si>
    <t xml:space="preserve">No </t>
  </si>
  <si>
    <t>Indirect truth sets</t>
  </si>
  <si>
    <r>
      <rPr>
        <sz val="12"/>
        <color theme="1"/>
        <rFont val="Calibri"/>
        <family val="2"/>
      </rPr>
      <t xml:space="preserve">Previously, we </t>
    </r>
    <r>
      <rPr>
        <b/>
        <sz val="12"/>
        <color theme="1"/>
        <rFont val="Calibri"/>
        <family val="2"/>
      </rPr>
      <t>used RT-PCR and traditional Sanger sequencing to validate 44 fusions</t>
    </r>
    <r>
      <rPr>
        <sz val="12"/>
        <color theme="1"/>
        <rFont val="Calibri"/>
        <family val="2"/>
      </rPr>
      <t xml:space="preserve"> from this dataset [10]. Here, we combined all six RNA-Seq analysis results of each fusion detection tool and compared them to the list of 44 validated fusions. </t>
    </r>
  </si>
  <si>
    <t>RNA + WGS + PCR/Sanger/cDNA-capture</t>
  </si>
  <si>
    <t>High-confidence, hybrid approach</t>
  </si>
  <si>
    <r>
      <rPr>
        <sz val="12"/>
        <color theme="1"/>
        <rFont val="Calibri"/>
        <family val="2"/>
      </rPr>
      <t xml:space="preserve">Gene fusions detected while benchmarking was confirmed using OncoScan FFPE Assay Kit </t>
    </r>
    <r>
      <rPr>
        <b/>
        <sz val="12"/>
        <color theme="1"/>
        <rFont val="Calibri"/>
        <family val="2"/>
      </rPr>
      <t xml:space="preserve">chromosomal microarray (CMA) and reverse transcription polymerase chain reaction (RT-PCR) </t>
    </r>
    <r>
      <rPr>
        <sz val="12"/>
        <color theme="1"/>
        <rFont val="Calibri"/>
        <family val="2"/>
      </rPr>
      <t xml:space="preserve">with or without subsequent direct Sanger sequencing as previously described </t>
    </r>
  </si>
  <si>
    <r>
      <rPr>
        <sz val="12"/>
        <color theme="1"/>
        <rFont val="Calibri"/>
        <family val="2"/>
      </rPr>
      <t xml:space="preserve">In three cancer breast cell lines, </t>
    </r>
    <r>
      <rPr>
        <b/>
        <sz val="12"/>
        <color theme="1"/>
        <rFont val="Calibri"/>
        <family val="2"/>
      </rPr>
      <t>37 fusion genes have been discovered in the previously research</t>
    </r>
  </si>
  <si>
    <t>Published validated fusions</t>
  </si>
  <si>
    <t>No (legacy-based)</t>
  </si>
  <si>
    <t>Moderately trusted, widely reused</t>
  </si>
  <si>
    <r>
      <rPr>
        <sz val="12"/>
        <color theme="1"/>
        <rFont val="Calibri"/>
        <family val="2"/>
      </rPr>
      <t xml:space="preserve">One dataset: They highlight the difficulty in assessing a method when </t>
    </r>
    <r>
      <rPr>
        <b/>
        <sz val="12"/>
        <color theme="1"/>
        <rFont val="Calibri"/>
        <family val="2"/>
      </rPr>
      <t>there is no real gold standard</t>
    </r>
    <r>
      <rPr>
        <sz val="12"/>
        <color theme="1"/>
        <rFont val="Calibri"/>
        <family val="2"/>
      </rPr>
      <t xml:space="preserve">. The rest: A total of fusion genes </t>
    </r>
    <r>
      <rPr>
        <b/>
        <sz val="12"/>
        <color theme="1"/>
        <rFont val="Calibri"/>
        <family val="2"/>
      </rPr>
      <t>has been validated</t>
    </r>
    <r>
      <rPr>
        <sz val="12"/>
        <color theme="1"/>
        <rFont val="Calibri"/>
        <family val="2"/>
      </rPr>
      <t xml:space="preserve"> in this dataset. There are 27 validated fusion genes from the original study [3], and extended to a total of 99 in later publications [3, 4, 14]. For clarity we will separately call these two validated versions as TP27 and TP99 datasets.</t>
    </r>
  </si>
  <si>
    <r>
      <rPr>
        <sz val="12"/>
        <color theme="1"/>
        <rFont val="Calibri"/>
        <family val="2"/>
      </rPr>
      <t xml:space="preserve">This dataset is </t>
    </r>
    <r>
      <rPr>
        <b/>
        <sz val="12"/>
        <color theme="1"/>
        <rFont val="Calibri"/>
        <family val="2"/>
      </rPr>
      <t>one of the standard datasets</t>
    </r>
    <r>
      <rPr>
        <sz val="12"/>
        <color theme="1"/>
        <rFont val="Calibri"/>
        <family val="2"/>
      </rPr>
      <t xml:space="preserve"> </t>
    </r>
    <r>
      <rPr>
        <b/>
        <sz val="12"/>
        <color theme="1"/>
        <rFont val="Calibri"/>
        <family val="2"/>
      </rPr>
      <t>used by different methods</t>
    </r>
    <r>
      <rPr>
        <sz val="12"/>
        <color theme="1"/>
        <rFont val="Calibri"/>
        <family val="2"/>
      </rPr>
      <t xml:space="preserve"> to show their performance. The dataset is from the breast cancer cell lines. It originally had 27 true positive fusion events (27 gene pairs), which was later expanded to 99 true positive fusion events in subsequent studies. Datasets validated in other publications were used.</t>
    </r>
  </si>
  <si>
    <r>
      <rPr>
        <sz val="12"/>
        <color theme="1"/>
        <rFont val="Calibri"/>
        <family val="2"/>
      </rPr>
      <t xml:space="preserve">Truth sets are subsets of fusions that have been either intentionally created in simulated data or </t>
    </r>
    <r>
      <rPr>
        <b/>
        <sz val="12"/>
        <color theme="1"/>
        <rFont val="Calibri"/>
        <family val="2"/>
      </rPr>
      <t>experimentally confirmed in real cancer data</t>
    </r>
    <r>
      <rPr>
        <sz val="12"/>
        <color theme="1"/>
        <rFont val="Calibri"/>
        <family val="2"/>
      </rPr>
      <t xml:space="preserve">. Several of the above datasets were selected due to </t>
    </r>
    <r>
      <rPr>
        <b/>
        <sz val="12"/>
        <color theme="1"/>
        <rFont val="Calibri"/>
        <family val="2"/>
      </rPr>
      <t>their previous use</t>
    </r>
    <r>
      <rPr>
        <sz val="12"/>
        <color theme="1"/>
        <rFont val="Calibri"/>
        <family val="2"/>
      </rPr>
      <t xml:space="preserve"> in benchmarking of fusion calling methods. Evaluation of fusion calling methods can be challenging due to a lack of clearly defined truth sets. Truth sets are subsets of fusions that have been either intentionally created in simulated data or experimentally confirmed in real cancer data. Several of the above datasets were selected due to their previous use in benchmarking of fusion calling methods (Haas et al., 2019; Jia et al., 2013).</t>
    </r>
  </si>
  <si>
    <r>
      <rPr>
        <sz val="12"/>
        <color theme="1"/>
        <rFont val="Calibri"/>
        <family val="2"/>
      </rPr>
      <t xml:space="preserve">we used the 138 validated gene fusions </t>
    </r>
    <r>
      <rPr>
        <b/>
        <sz val="12"/>
        <color theme="1"/>
        <rFont val="Calibri"/>
        <family val="2"/>
      </rPr>
      <t>discovered using nine methods as the gold standard. The list of true fusions was created by applying bioinformatics (RNA + WGS) and experimental validation (cDNA-capture). Only fusions that are supported by genomic, at least RNA (or both) and experimental validation made it to the final compilation. As a result, they were considered as high-quality "ground truth" used to evaluate the tool.</t>
    </r>
  </si>
  <si>
    <t>Previously published fusions, Literature-based only, No experimental validation in study</t>
  </si>
  <si>
    <t>Nr benchmarku</t>
  </si>
  <si>
    <t>doi</t>
  </si>
  <si>
    <t>Narzędzia</t>
  </si>
  <si>
    <t>SUMA</t>
  </si>
  <si>
    <t>Wersja</t>
  </si>
  <si>
    <t>Rok wydania</t>
  </si>
  <si>
    <t>v2.4.0</t>
  </si>
  <si>
    <t>v2.3.0</t>
  </si>
  <si>
    <t>v2.2.1</t>
  </si>
  <si>
    <t>v2.1.0</t>
  </si>
  <si>
    <t>v2.0.0</t>
  </si>
  <si>
    <t>v1.2.0</t>
  </si>
  <si>
    <t>v1.1.0</t>
  </si>
  <si>
    <t>v1.0.1</t>
  </si>
  <si>
    <t>v1.0.0</t>
  </si>
  <si>
    <t>1.0</t>
  </si>
  <si>
    <t>1.0.1</t>
  </si>
  <si>
    <t>0.0.6</t>
  </si>
  <si>
    <t>v0.4.3.1</t>
  </si>
  <si>
    <t>v.0.1.0-v.0.4.3</t>
  </si>
  <si>
    <t>v0.9.8</t>
  </si>
  <si>
    <t>v0.9.7</t>
  </si>
  <si>
    <t>v0.9.6</t>
  </si>
  <si>
    <t>v0.9.5</t>
  </si>
  <si>
    <t>v0.9.4</t>
  </si>
  <si>
    <t>v0.9.3</t>
  </si>
  <si>
    <t>v0.9.1</t>
  </si>
  <si>
    <t>v0.8.8</t>
  </si>
  <si>
    <t>v0.8.2</t>
  </si>
  <si>
    <t>v0.8.0</t>
  </si>
  <si>
    <t>v0.7.0</t>
  </si>
  <si>
    <t>v.0.6.2</t>
  </si>
  <si>
    <t>v.0.6.1</t>
  </si>
  <si>
    <t>v.0.6.0</t>
  </si>
  <si>
    <t>v.0.5.0</t>
  </si>
  <si>
    <t>v.0.4.3</t>
  </si>
  <si>
    <t>v.0.4.2</t>
  </si>
  <si>
    <t xml:space="preserve">v2.1 </t>
  </si>
  <si>
    <t>v1.1.4</t>
  </si>
  <si>
    <t>v1.1.3</t>
  </si>
  <si>
    <t>v1.1.2</t>
  </si>
  <si>
    <t>v1.1.1</t>
  </si>
  <si>
    <t>v0.1.1</t>
  </si>
  <si>
    <t>0.1.0</t>
  </si>
  <si>
    <t>v1.33</t>
  </si>
  <si>
    <t>v1.30</t>
  </si>
  <si>
    <t>v1.20</t>
  </si>
  <si>
    <t>v.1.4</t>
  </si>
  <si>
    <t>v2.8.0</t>
  </si>
  <si>
    <t>v2.7.0</t>
  </si>
  <si>
    <t>v2.6.0</t>
  </si>
  <si>
    <t>v2.5.0</t>
  </si>
  <si>
    <t>v2.3.1</t>
  </si>
  <si>
    <t>v2.3.0.</t>
  </si>
  <si>
    <t>v2.0.1</t>
  </si>
  <si>
    <t>v2.3</t>
  </si>
  <si>
    <t>v2.2</t>
  </si>
  <si>
    <t>v2.1</t>
  </si>
  <si>
    <t>v2.00</t>
  </si>
  <si>
    <t>v1.08</t>
  </si>
  <si>
    <t>v1.07</t>
  </si>
  <si>
    <t>NA</t>
  </si>
  <si>
    <t>V1.06</t>
  </si>
  <si>
    <t>V1.26</t>
  </si>
  <si>
    <t>V0.6.2</t>
  </si>
  <si>
    <t>2.0.13</t>
  </si>
  <si>
    <t>0.99.3D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</si>
</sst>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_ ;_ * \(#,##0.00\)_ ;_ * &quot;-&quot;??_)_ ;_ @_ "/>
    <numFmt numFmtId="164" formatCode="0.0"/>
    <numFmt numFmtId="165" formatCode="_ * #,##0.000_)_ ;_ * \(#,##0.000\)_ ;_ * &quot;-&quot;??_)_ ;_ @_ "/>
  </numFmts>
  <fonts count="31">
    <font>
      <sz val="12"/>
      <color theme="1"/>
      <name val="Calibri"/>
      <scheme val="minor"/>
    </font>
    <font>
      <b/>
      <sz val="12"/>
      <color theme="1"/>
      <name val="Calibri"/>
      <family val="2"/>
    </font>
    <font>
      <sz val="12"/>
      <name val="Calibri"/>
      <family val="2"/>
    </font>
    <font>
      <sz val="12"/>
      <color theme="1"/>
      <name val="Calibri"/>
      <family val="2"/>
    </font>
    <font>
      <u/>
      <sz val="12"/>
      <color theme="10"/>
      <name val="Calibri"/>
      <family val="2"/>
    </font>
    <font>
      <u/>
      <sz val="12"/>
      <color theme="10"/>
      <name val="Calibri"/>
      <family val="2"/>
    </font>
    <font>
      <sz val="12"/>
      <color theme="1"/>
      <name val="Calibri"/>
      <family val="2"/>
      <scheme val="minor"/>
    </font>
    <font>
      <u/>
      <sz val="12"/>
      <color theme="10"/>
      <name val="Calibri"/>
      <family val="2"/>
    </font>
    <font>
      <u/>
      <sz val="12"/>
      <color theme="10"/>
      <name val="Calibri"/>
      <family val="2"/>
    </font>
    <font>
      <u/>
      <sz val="12"/>
      <color theme="10"/>
      <name val="Calibri"/>
      <family val="2"/>
    </font>
    <font>
      <b/>
      <sz val="12"/>
      <color rgb="FF000000"/>
      <name val="Calibri"/>
      <family val="2"/>
    </font>
    <font>
      <sz val="12"/>
      <color rgb="FF000000"/>
      <name val="Calibri"/>
      <family val="2"/>
    </font>
    <font>
      <sz val="11"/>
      <color rgb="FF000000"/>
      <name val="Calibri"/>
      <family val="2"/>
    </font>
    <font>
      <sz val="9"/>
      <color rgb="FF000000"/>
      <name val="Roboto"/>
    </font>
    <font>
      <u/>
      <sz val="12"/>
      <color theme="10"/>
      <name val="Calibri"/>
      <family val="2"/>
    </font>
    <font>
      <u/>
      <sz val="12"/>
      <color theme="10"/>
      <name val="Calibri"/>
      <family val="2"/>
    </font>
    <font>
      <sz val="11"/>
      <color theme="1"/>
      <name val="Helvetica Neue"/>
      <family val="2"/>
    </font>
    <font>
      <b/>
      <sz val="11"/>
      <color theme="1"/>
      <name val="Helvetica Neue"/>
      <family val="2"/>
    </font>
    <font>
      <sz val="12"/>
      <color rgb="FF0070C0"/>
      <name val="Calibri"/>
      <family val="2"/>
    </font>
    <font>
      <sz val="12"/>
      <color rgb="FF548135"/>
      <name val="Calibri"/>
      <family val="2"/>
    </font>
    <font>
      <u/>
      <sz val="12"/>
      <color theme="10"/>
      <name val="Calibri"/>
      <family val="2"/>
    </font>
    <font>
      <b/>
      <sz val="13"/>
      <color rgb="FF000000"/>
      <name val="Calibri"/>
      <family val="2"/>
    </font>
    <font>
      <sz val="12"/>
      <color theme="1"/>
      <name val="Times New Roman"/>
      <family val="1"/>
    </font>
    <font>
      <sz val="13"/>
      <color rgb="FF000000"/>
      <name val="Calibri"/>
      <family val="2"/>
    </font>
    <font>
      <b/>
      <sz val="11"/>
      <color theme="0"/>
      <name val="Helvetica Neue"/>
      <family val="2"/>
    </font>
    <font>
      <i/>
      <sz val="11"/>
      <color theme="1"/>
      <name val="Helvetica Neue"/>
      <family val="2"/>
    </font>
    <font>
      <u/>
      <sz val="12"/>
      <color theme="10"/>
      <name val="Calibri"/>
      <family val="2"/>
    </font>
    <font>
      <sz val="18"/>
      <color rgb="FF333333"/>
      <name val="Georgia"/>
      <family val="1"/>
    </font>
    <font>
      <b/>
      <i/>
      <sz val="11"/>
      <color theme="0"/>
      <name val="Helvetica"/>
      <family val="2"/>
    </font>
    <font>
      <b/>
      <sz val="11"/>
      <color theme="0"/>
      <name val="Helvetica"/>
      <family val="2"/>
    </font>
    <font>
      <sz val="12"/>
      <color theme="1"/>
      <name val="Calibri"/>
      <family val="2"/>
      <scheme val="minor"/>
    </font>
  </fonts>
  <fills count="31">
    <fill>
      <patternFill patternType="none"/>
    </fill>
    <fill>
      <patternFill patternType="gray125"/>
    </fill>
    <fill>
      <patternFill patternType="solid">
        <fgColor rgb="FFDEEAF6"/>
        <bgColor rgb="FFDEEAF6"/>
      </patternFill>
    </fill>
    <fill>
      <patternFill patternType="solid">
        <fgColor rgb="FFE2EFD9"/>
        <bgColor rgb="FFE2EFD9"/>
      </patternFill>
    </fill>
    <fill>
      <patternFill patternType="solid">
        <fgColor rgb="FFE3F9FA"/>
        <bgColor rgb="FFE3F9FA"/>
      </patternFill>
    </fill>
    <fill>
      <patternFill patternType="solid">
        <fgColor rgb="FF7A81FF"/>
        <bgColor rgb="FF7A81FF"/>
      </patternFill>
    </fill>
    <fill>
      <patternFill patternType="solid">
        <fgColor rgb="FFFF8AD8"/>
        <bgColor rgb="FFFF8AD8"/>
      </patternFill>
    </fill>
    <fill>
      <patternFill patternType="solid">
        <fgColor rgb="FFA8D08D"/>
        <bgColor rgb="FFA8D08D"/>
      </patternFill>
    </fill>
    <fill>
      <patternFill patternType="solid">
        <fgColor rgb="FFADB9CA"/>
        <bgColor rgb="FFADB9CA"/>
      </patternFill>
    </fill>
    <fill>
      <patternFill patternType="solid">
        <fgColor rgb="FF73FEFF"/>
        <bgColor rgb="FF73FEFF"/>
      </patternFill>
    </fill>
    <fill>
      <patternFill patternType="solid">
        <fgColor rgb="FF73FB79"/>
        <bgColor rgb="FF73FB79"/>
      </patternFill>
    </fill>
    <fill>
      <patternFill patternType="solid">
        <fgColor rgb="FF0FAEDF"/>
        <bgColor rgb="FF0FAEDF"/>
      </patternFill>
    </fill>
    <fill>
      <patternFill patternType="solid">
        <fgColor rgb="FFFF9300"/>
        <bgColor rgb="FFFF9300"/>
      </patternFill>
    </fill>
    <fill>
      <patternFill patternType="solid">
        <fgColor rgb="FFFF7E79"/>
        <bgColor rgb="FFFF7E79"/>
      </patternFill>
    </fill>
    <fill>
      <patternFill patternType="solid">
        <fgColor rgb="FFDDD6F4"/>
        <bgColor rgb="FFDDD6F4"/>
      </patternFill>
    </fill>
    <fill>
      <patternFill patternType="solid">
        <fgColor rgb="FFDAF5F4"/>
        <bgColor rgb="FFDAF5F4"/>
      </patternFill>
    </fill>
    <fill>
      <patternFill patternType="solid">
        <fgColor rgb="FFFFF2CB"/>
        <bgColor rgb="FFFFF2CB"/>
      </patternFill>
    </fill>
    <fill>
      <patternFill patternType="solid">
        <fgColor rgb="FFFFD579"/>
        <bgColor rgb="FFFFD579"/>
      </patternFill>
    </fill>
    <fill>
      <patternFill patternType="solid">
        <fgColor rgb="FFEFF4D6"/>
        <bgColor rgb="FFEFF4D6"/>
      </patternFill>
    </fill>
    <fill>
      <patternFill patternType="solid">
        <fgColor rgb="FFC6EC32"/>
        <bgColor rgb="FFC6EC32"/>
      </patternFill>
    </fill>
    <fill>
      <patternFill patternType="solid">
        <fgColor rgb="FFB4C6E7"/>
        <bgColor rgb="FFB4C6E7"/>
      </patternFill>
    </fill>
    <fill>
      <patternFill patternType="solid">
        <fgColor rgb="FFFFFD78"/>
        <bgColor rgb="FFFFFD78"/>
      </patternFill>
    </fill>
    <fill>
      <patternFill patternType="solid">
        <fgColor rgb="FFBB29BB"/>
        <bgColor rgb="FFBB29BB"/>
      </patternFill>
    </fill>
    <fill>
      <patternFill patternType="solid">
        <fgColor rgb="FFD7F8FA"/>
        <bgColor rgb="FFD7F8FA"/>
      </patternFill>
    </fill>
    <fill>
      <patternFill patternType="solid">
        <fgColor rgb="FFF0B9E2"/>
        <bgColor rgb="FFF0B9E2"/>
      </patternFill>
    </fill>
    <fill>
      <patternFill patternType="solid">
        <fgColor rgb="FFCADEF2"/>
        <bgColor rgb="FFCADEF2"/>
      </patternFill>
    </fill>
    <fill>
      <patternFill patternType="solid">
        <fgColor rgb="FFE7E6E6"/>
        <bgColor rgb="FFE7E6E6"/>
      </patternFill>
    </fill>
    <fill>
      <patternFill patternType="solid">
        <fgColor rgb="FF92D050"/>
        <bgColor rgb="FF92D050"/>
      </patternFill>
    </fill>
    <fill>
      <patternFill patternType="solid">
        <fgColor theme="1"/>
        <bgColor theme="1"/>
      </patternFill>
    </fill>
    <fill>
      <patternFill patternType="solid">
        <fgColor theme="0"/>
        <bgColor theme="0"/>
      </patternFill>
    </fill>
    <fill>
      <patternFill patternType="solid">
        <fgColor rgb="FFFFE598"/>
        <bgColor rgb="FFFFE598"/>
      </patternFill>
    </fill>
  </fills>
  <borders count="9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thin">
        <color rgb="FFFF0000"/>
      </left>
      <right/>
      <top/>
      <bottom/>
      <diagonal/>
    </border>
    <border>
      <left/>
      <right style="thin">
        <color rgb="FFFF0000"/>
      </right>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medium">
        <color rgb="FFFF0000"/>
      </left>
      <right/>
      <top style="medium">
        <color rgb="FFFF0000"/>
      </top>
      <bottom style="medium">
        <color rgb="FF000000"/>
      </bottom>
      <diagonal/>
    </border>
    <border>
      <left/>
      <right/>
      <top style="medium">
        <color rgb="FFFF0000"/>
      </top>
      <bottom style="medium">
        <color rgb="FF000000"/>
      </bottom>
      <diagonal/>
    </border>
    <border>
      <left/>
      <right style="medium">
        <color rgb="FFFF0000"/>
      </right>
      <top style="medium">
        <color rgb="FFFF0000"/>
      </top>
      <bottom style="medium">
        <color rgb="FF000000"/>
      </bottom>
      <diagonal/>
    </border>
    <border>
      <left style="medium">
        <color rgb="FFFF0000"/>
      </left>
      <right/>
      <top style="medium">
        <color rgb="FF000000"/>
      </top>
      <bottom/>
      <diagonal/>
    </border>
    <border>
      <left/>
      <right/>
      <top/>
      <bottom style="medium">
        <color rgb="FF000000"/>
      </bottom>
      <diagonal/>
    </border>
    <border>
      <left/>
      <right style="medium">
        <color rgb="FFFF0000"/>
      </right>
      <top/>
      <bottom style="medium">
        <color rgb="FF000000"/>
      </bottom>
      <diagonal/>
    </border>
    <border>
      <left style="medium">
        <color rgb="FFFF0000"/>
      </left>
      <right/>
      <top/>
      <bottom/>
      <diagonal/>
    </border>
    <border>
      <left/>
      <right style="medium">
        <color rgb="FFFF0000"/>
      </right>
      <top/>
      <bottom/>
      <diagonal/>
    </border>
    <border>
      <left/>
      <right/>
      <top style="medium">
        <color rgb="FF000000"/>
      </top>
      <bottom style="medium">
        <color rgb="FF000000"/>
      </bottom>
      <diagonal/>
    </border>
    <border>
      <left/>
      <right style="medium">
        <color rgb="FFFF0000"/>
      </right>
      <top style="medium">
        <color rgb="FF000000"/>
      </top>
      <bottom style="medium">
        <color rgb="FF000000"/>
      </bottom>
      <diagonal/>
    </border>
    <border>
      <left style="medium">
        <color rgb="FFFF0000"/>
      </left>
      <right/>
      <top/>
      <bottom style="medium">
        <color rgb="FF000000"/>
      </bottom>
      <diagonal/>
    </border>
    <border>
      <left style="medium">
        <color rgb="FFFF0000"/>
      </left>
      <right/>
      <top/>
      <bottom/>
      <diagonal/>
    </border>
    <border>
      <left/>
      <right/>
      <top style="medium">
        <color rgb="FF000000"/>
      </top>
      <bottom/>
      <diagonal/>
    </border>
    <border>
      <left/>
      <right/>
      <top style="medium">
        <color rgb="FF000000"/>
      </top>
      <bottom/>
      <diagonal/>
    </border>
    <border>
      <left/>
      <right style="medium">
        <color rgb="FFFF0000"/>
      </right>
      <top style="medium">
        <color rgb="FF000000"/>
      </top>
      <bottom/>
      <diagonal/>
    </border>
    <border>
      <left/>
      <right/>
      <top/>
      <bottom style="medium">
        <color rgb="FF000000"/>
      </bottom>
      <diagonal/>
    </border>
    <border>
      <left/>
      <right style="medium">
        <color rgb="FFFF0000"/>
      </right>
      <top/>
      <bottom style="medium">
        <color rgb="FF000000"/>
      </bottom>
      <diagonal/>
    </border>
    <border>
      <left style="medium">
        <color rgb="FFFF0000"/>
      </left>
      <right/>
      <top/>
      <bottom style="medium">
        <color rgb="FFFF0000"/>
      </bottom>
      <diagonal/>
    </border>
    <border>
      <left/>
      <right/>
      <top style="medium">
        <color rgb="FF000000"/>
      </top>
      <bottom style="medium">
        <color rgb="FFFF0000"/>
      </bottom>
      <diagonal/>
    </border>
    <border>
      <left/>
      <right style="medium">
        <color rgb="FFFF0000"/>
      </right>
      <top style="medium">
        <color rgb="FF000000"/>
      </top>
      <bottom style="medium">
        <color rgb="FFFF0000"/>
      </bottom>
      <diagonal/>
    </border>
  </borders>
  <cellStyleXfs count="2">
    <xf numFmtId="0" fontId="0" fillId="0" borderId="0"/>
    <xf numFmtId="43" fontId="30" fillId="0" borderId="0" applyFont="0" applyFill="0" applyBorder="0" applyAlignment="0" applyProtection="0"/>
  </cellStyleXfs>
  <cellXfs count="298">
    <xf numFmtId="0" fontId="0" fillId="0" borderId="0" xfId="0"/>
    <xf numFmtId="0" fontId="1" fillId="2" borderId="1" xfId="0" applyFont="1" applyFill="1" applyBorder="1" applyAlignment="1">
      <alignment horizontal="center"/>
    </xf>
    <xf numFmtId="0" fontId="3" fillId="2" borderId="1"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center"/>
    </xf>
    <xf numFmtId="0" fontId="3" fillId="0" borderId="0" xfId="0" applyFont="1" applyAlignment="1">
      <alignment horizontal="center" vertical="center"/>
    </xf>
    <xf numFmtId="0" fontId="3" fillId="0" borderId="0" xfId="0" applyFont="1" applyAlignment="1">
      <alignment vertical="center" wrapText="1"/>
    </xf>
    <xf numFmtId="0" fontId="3" fillId="0" borderId="19" xfId="0" applyFont="1" applyBorder="1" applyAlignment="1">
      <alignment vertical="center" wrapText="1"/>
    </xf>
    <xf numFmtId="0" fontId="1" fillId="2" borderId="21" xfId="0" applyFont="1" applyFill="1" applyBorder="1"/>
    <xf numFmtId="0" fontId="3" fillId="2" borderId="1" xfId="0" applyFont="1" applyFill="1" applyBorder="1"/>
    <xf numFmtId="0" fontId="3" fillId="2" borderId="22" xfId="0" applyFont="1" applyFill="1" applyBorder="1"/>
    <xf numFmtId="0" fontId="3" fillId="2" borderId="23" xfId="0" applyFont="1" applyFill="1" applyBorder="1"/>
    <xf numFmtId="0" fontId="5" fillId="2" borderId="24" xfId="0" applyFont="1" applyFill="1" applyBorder="1"/>
    <xf numFmtId="0" fontId="6" fillId="0" borderId="0" xfId="0" applyFont="1"/>
    <xf numFmtId="0" fontId="3" fillId="0" borderId="20" xfId="0" applyFont="1" applyBorder="1" applyAlignment="1">
      <alignment horizontal="center"/>
    </xf>
    <xf numFmtId="0" fontId="3" fillId="2" borderId="1" xfId="0" applyFont="1" applyFill="1" applyBorder="1" applyAlignment="1">
      <alignment horizontal="center"/>
    </xf>
    <xf numFmtId="0" fontId="3" fillId="0" borderId="0" xfId="0" applyFont="1" applyAlignment="1">
      <alignment wrapText="1"/>
    </xf>
    <xf numFmtId="0" fontId="3" fillId="2" borderId="27" xfId="0" applyFont="1" applyFill="1" applyBorder="1" applyAlignment="1">
      <alignment horizontal="center"/>
    </xf>
    <xf numFmtId="9" fontId="3" fillId="0" borderId="0" xfId="0" applyNumberFormat="1" applyFont="1"/>
    <xf numFmtId="0" fontId="3" fillId="0" borderId="0" xfId="0" applyFont="1" applyAlignment="1">
      <alignment horizontal="center" vertical="center" wrapText="1"/>
    </xf>
    <xf numFmtId="0" fontId="1" fillId="2" borderId="1" xfId="0" applyFont="1" applyFill="1" applyBorder="1"/>
    <xf numFmtId="0" fontId="3" fillId="2" borderId="1" xfId="0" applyFont="1" applyFill="1" applyBorder="1" applyAlignment="1">
      <alignment horizontal="center" wrapText="1"/>
    </xf>
    <xf numFmtId="0" fontId="3" fillId="0" borderId="0" xfId="0" applyFont="1" applyAlignment="1">
      <alignment horizontal="center" wrapText="1"/>
    </xf>
    <xf numFmtId="0" fontId="3" fillId="2" borderId="30" xfId="0" applyFont="1" applyFill="1" applyBorder="1"/>
    <xf numFmtId="0" fontId="3" fillId="2" borderId="31" xfId="0" applyFont="1" applyFill="1" applyBorder="1"/>
    <xf numFmtId="0" fontId="10" fillId="0" borderId="35" xfId="0" applyFont="1" applyBorder="1" applyAlignment="1">
      <alignment horizontal="center" vertical="center"/>
    </xf>
    <xf numFmtId="0" fontId="10" fillId="0" borderId="36" xfId="0" applyFont="1" applyBorder="1" applyAlignment="1">
      <alignment horizontal="center" vertical="center"/>
    </xf>
    <xf numFmtId="0" fontId="10" fillId="0" borderId="36" xfId="0" applyFont="1" applyBorder="1" applyAlignment="1">
      <alignment horizontal="left" vertical="center"/>
    </xf>
    <xf numFmtId="0" fontId="11" fillId="0" borderId="0" xfId="0" applyFont="1" applyAlignment="1">
      <alignment horizontal="center"/>
    </xf>
    <xf numFmtId="0" fontId="11" fillId="0" borderId="0" xfId="0" applyFont="1" applyAlignment="1">
      <alignment horizontal="center" vertical="center"/>
    </xf>
    <xf numFmtId="0" fontId="3" fillId="0" borderId="0" xfId="0" applyFont="1"/>
    <xf numFmtId="0" fontId="10" fillId="0" borderId="0" xfId="0" applyFont="1" applyAlignment="1">
      <alignment horizontal="left" vertical="center"/>
    </xf>
    <xf numFmtId="2" fontId="3" fillId="0" borderId="0" xfId="0" applyNumberFormat="1" applyFont="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xf>
    <xf numFmtId="0" fontId="10" fillId="0" borderId="40" xfId="0" applyFont="1" applyBorder="1" applyAlignment="1">
      <alignment horizontal="left" vertical="center"/>
    </xf>
    <xf numFmtId="0" fontId="12" fillId="0" borderId="40" xfId="0" applyFont="1" applyBorder="1" applyAlignment="1">
      <alignment horizontal="center" vertical="center"/>
    </xf>
    <xf numFmtId="0" fontId="11" fillId="0" borderId="40" xfId="0" applyFont="1" applyBorder="1" applyAlignment="1">
      <alignment horizontal="center" vertical="center"/>
    </xf>
    <xf numFmtId="2" fontId="3" fillId="0" borderId="41" xfId="0" applyNumberFormat="1" applyFont="1" applyBorder="1" applyAlignment="1">
      <alignment horizontal="center" vertical="center"/>
    </xf>
    <xf numFmtId="0" fontId="3" fillId="0" borderId="42" xfId="0" applyFont="1" applyBorder="1"/>
    <xf numFmtId="0" fontId="10" fillId="0" borderId="43" xfId="0" applyFont="1" applyBorder="1" applyAlignment="1">
      <alignment horizontal="left" vertical="center"/>
    </xf>
    <xf numFmtId="0" fontId="12" fillId="0" borderId="43" xfId="0" applyFont="1" applyBorder="1" applyAlignment="1">
      <alignment horizontal="center" vertical="center"/>
    </xf>
    <xf numFmtId="0" fontId="11" fillId="0" borderId="43" xfId="0" applyFont="1" applyBorder="1" applyAlignment="1">
      <alignment horizontal="center" vertical="center"/>
    </xf>
    <xf numFmtId="2" fontId="3" fillId="0" borderId="44" xfId="0" applyNumberFormat="1" applyFont="1" applyBorder="1" applyAlignment="1">
      <alignment horizontal="center" vertical="center"/>
    </xf>
    <xf numFmtId="0" fontId="3" fillId="5" borderId="46" xfId="0" applyFont="1" applyFill="1" applyBorder="1" applyAlignment="1">
      <alignment horizontal="center"/>
    </xf>
    <xf numFmtId="0" fontId="11" fillId="0" borderId="0" xfId="0" applyFont="1" applyAlignment="1">
      <alignment horizontal="left"/>
    </xf>
    <xf numFmtId="20" fontId="13" fillId="0" borderId="0" xfId="0" applyNumberFormat="1" applyFont="1" applyAlignment="1">
      <alignment horizontal="center" vertical="center" wrapText="1"/>
    </xf>
    <xf numFmtId="2" fontId="11" fillId="0" borderId="0" xfId="0" applyNumberFormat="1" applyFont="1" applyAlignment="1">
      <alignment horizontal="center"/>
    </xf>
    <xf numFmtId="0" fontId="3" fillId="6" borderId="46" xfId="0" applyFont="1" applyFill="1" applyBorder="1" applyAlignment="1">
      <alignment horizontal="center" vertical="center"/>
    </xf>
    <xf numFmtId="0" fontId="3" fillId="0" borderId="0" xfId="0" applyFont="1" applyAlignment="1">
      <alignment horizontal="left"/>
    </xf>
    <xf numFmtId="0" fontId="13" fillId="0" borderId="0" xfId="0" applyFont="1" applyAlignment="1">
      <alignment horizontal="center" vertical="center" wrapText="1"/>
    </xf>
    <xf numFmtId="0" fontId="3" fillId="7" borderId="46" xfId="0" applyFont="1" applyFill="1" applyBorder="1" applyAlignment="1">
      <alignment horizontal="center" vertical="center"/>
    </xf>
    <xf numFmtId="0" fontId="3" fillId="8" borderId="46" xfId="0" applyFont="1" applyFill="1" applyBorder="1" applyAlignment="1">
      <alignment horizontal="center" vertical="center"/>
    </xf>
    <xf numFmtId="0" fontId="3" fillId="5" borderId="46" xfId="0" applyFont="1" applyFill="1" applyBorder="1" applyAlignment="1">
      <alignment horizontal="center" vertical="center"/>
    </xf>
    <xf numFmtId="0" fontId="3" fillId="9" borderId="46" xfId="0" applyFont="1" applyFill="1" applyBorder="1" applyAlignment="1">
      <alignment horizontal="center" vertical="center"/>
    </xf>
    <xf numFmtId="0" fontId="14" fillId="0" borderId="0" xfId="0" applyFont="1" applyAlignment="1">
      <alignment horizontal="center" vertical="center" wrapText="1"/>
    </xf>
    <xf numFmtId="0" fontId="3" fillId="10" borderId="46" xfId="0" applyFont="1" applyFill="1" applyBorder="1" applyAlignment="1">
      <alignment horizontal="center" vertical="center"/>
    </xf>
    <xf numFmtId="0" fontId="3" fillId="11" borderId="46" xfId="0" applyFont="1" applyFill="1" applyBorder="1" applyAlignment="1">
      <alignment horizontal="center" vertical="center"/>
    </xf>
    <xf numFmtId="0" fontId="3" fillId="12" borderId="46" xfId="0" applyFont="1" applyFill="1" applyBorder="1" applyAlignment="1">
      <alignment horizontal="center" vertical="center"/>
    </xf>
    <xf numFmtId="0" fontId="3" fillId="13" borderId="46" xfId="0" applyFont="1" applyFill="1" applyBorder="1" applyAlignment="1">
      <alignment horizontal="center" vertical="center"/>
    </xf>
    <xf numFmtId="0" fontId="3" fillId="14" borderId="46" xfId="0" applyFont="1" applyFill="1" applyBorder="1" applyAlignment="1">
      <alignment horizontal="center" vertical="center"/>
    </xf>
    <xf numFmtId="0" fontId="3" fillId="15" borderId="46" xfId="0" applyFont="1" applyFill="1" applyBorder="1" applyAlignment="1">
      <alignment horizontal="center" vertical="center"/>
    </xf>
    <xf numFmtId="0" fontId="3" fillId="16" borderId="46" xfId="0" applyFont="1" applyFill="1" applyBorder="1" applyAlignment="1">
      <alignment horizontal="center" vertical="center"/>
    </xf>
    <xf numFmtId="0" fontId="3" fillId="17" borderId="46" xfId="0" applyFont="1" applyFill="1" applyBorder="1" applyAlignment="1">
      <alignment horizontal="center" vertical="center"/>
    </xf>
    <xf numFmtId="0" fontId="3" fillId="18" borderId="46" xfId="0" applyFont="1" applyFill="1" applyBorder="1" applyAlignment="1">
      <alignment horizontal="center" vertical="center"/>
    </xf>
    <xf numFmtId="0" fontId="3" fillId="19" borderId="46" xfId="0" applyFont="1" applyFill="1" applyBorder="1" applyAlignment="1">
      <alignment horizontal="center"/>
    </xf>
    <xf numFmtId="0" fontId="3" fillId="20" borderId="46" xfId="0" applyFont="1" applyFill="1" applyBorder="1" applyAlignment="1">
      <alignment horizontal="center" vertical="center"/>
    </xf>
    <xf numFmtId="0" fontId="3" fillId="21" borderId="46" xfId="0" applyFont="1" applyFill="1" applyBorder="1" applyAlignment="1">
      <alignment horizontal="center" vertical="center"/>
    </xf>
    <xf numFmtId="0" fontId="15" fillId="0" borderId="0" xfId="0" applyFont="1"/>
    <xf numFmtId="0" fontId="3" fillId="6" borderId="46" xfId="0" applyFont="1" applyFill="1" applyBorder="1" applyAlignment="1">
      <alignment horizontal="center"/>
    </xf>
    <xf numFmtId="2" fontId="16" fillId="0" borderId="0" xfId="0" applyNumberFormat="1" applyFont="1" applyAlignment="1">
      <alignment horizontal="center"/>
    </xf>
    <xf numFmtId="2" fontId="3" fillId="0" borderId="0" xfId="0" applyNumberFormat="1" applyFont="1" applyAlignment="1">
      <alignment horizontal="center"/>
    </xf>
    <xf numFmtId="0" fontId="3" fillId="9" borderId="46" xfId="0" applyFont="1" applyFill="1" applyBorder="1" applyAlignment="1">
      <alignment horizontal="center"/>
    </xf>
    <xf numFmtId="0" fontId="3" fillId="14" borderId="46" xfId="0" applyFont="1" applyFill="1" applyBorder="1" applyAlignment="1">
      <alignment horizontal="center"/>
    </xf>
    <xf numFmtId="0" fontId="3" fillId="21" borderId="46" xfId="0" applyFont="1" applyFill="1" applyBorder="1" applyAlignment="1">
      <alignment horizontal="center"/>
    </xf>
    <xf numFmtId="0" fontId="3" fillId="16" borderId="46" xfId="0" applyFont="1" applyFill="1" applyBorder="1" applyAlignment="1">
      <alignment horizontal="center"/>
    </xf>
    <xf numFmtId="0" fontId="3" fillId="8" borderId="46" xfId="0" applyFont="1" applyFill="1" applyBorder="1" applyAlignment="1">
      <alignment horizontal="center"/>
    </xf>
    <xf numFmtId="0" fontId="16" fillId="0" borderId="0" xfId="0" applyFont="1" applyAlignment="1">
      <alignment horizontal="center"/>
    </xf>
    <xf numFmtId="0" fontId="17" fillId="0" borderId="0" xfId="0" applyFont="1" applyAlignment="1">
      <alignment horizontal="center"/>
    </xf>
    <xf numFmtId="0" fontId="3" fillId="22" borderId="46" xfId="0" applyFont="1" applyFill="1" applyBorder="1" applyAlignment="1">
      <alignment horizontal="center" vertical="center"/>
    </xf>
    <xf numFmtId="164" fontId="3" fillId="0" borderId="0" xfId="0" applyNumberFormat="1" applyFont="1" applyAlignment="1">
      <alignment horizontal="center"/>
    </xf>
    <xf numFmtId="0" fontId="3" fillId="18" borderId="46" xfId="0" applyFont="1" applyFill="1" applyBorder="1" applyAlignment="1">
      <alignment horizontal="center"/>
    </xf>
    <xf numFmtId="0" fontId="3" fillId="11" borderId="46" xfId="0" applyFont="1" applyFill="1" applyBorder="1" applyAlignment="1">
      <alignment horizontal="center"/>
    </xf>
    <xf numFmtId="0" fontId="3" fillId="19" borderId="46" xfId="0" applyFont="1" applyFill="1" applyBorder="1" applyAlignment="1">
      <alignment horizontal="center" vertical="center"/>
    </xf>
    <xf numFmtId="14" fontId="3" fillId="0" borderId="0" xfId="0" applyNumberFormat="1" applyFont="1" applyAlignment="1">
      <alignment horizontal="left"/>
    </xf>
    <xf numFmtId="0" fontId="3" fillId="13" borderId="46" xfId="0" applyFont="1" applyFill="1" applyBorder="1" applyAlignment="1">
      <alignment horizontal="center"/>
    </xf>
    <xf numFmtId="0" fontId="3" fillId="17" borderId="46" xfId="0" applyFont="1" applyFill="1" applyBorder="1" applyAlignment="1">
      <alignment horizontal="center"/>
    </xf>
    <xf numFmtId="1" fontId="3" fillId="0" borderId="0" xfId="0" applyNumberFormat="1" applyFont="1" applyAlignment="1">
      <alignment horizontal="center"/>
    </xf>
    <xf numFmtId="0" fontId="3" fillId="22" borderId="46" xfId="0" applyFont="1" applyFill="1" applyBorder="1" applyAlignment="1">
      <alignment horizontal="center"/>
    </xf>
    <xf numFmtId="0" fontId="3" fillId="15" borderId="46" xfId="0" applyFont="1" applyFill="1" applyBorder="1" applyAlignment="1">
      <alignment horizontal="center"/>
    </xf>
    <xf numFmtId="0" fontId="18" fillId="0" borderId="0" xfId="0" applyFont="1" applyAlignment="1">
      <alignment horizontal="center" vertical="center"/>
    </xf>
    <xf numFmtId="0" fontId="3" fillId="3" borderId="46" xfId="0" applyFont="1" applyFill="1" applyBorder="1" applyAlignment="1">
      <alignment horizontal="center"/>
    </xf>
    <xf numFmtId="2" fontId="3" fillId="0" borderId="0" xfId="0" applyNumberFormat="1" applyFont="1" applyAlignment="1">
      <alignment horizontal="center" wrapText="1"/>
    </xf>
    <xf numFmtId="0" fontId="3" fillId="0" borderId="0" xfId="0" applyFont="1" applyAlignment="1">
      <alignment horizontal="left" vertical="center"/>
    </xf>
    <xf numFmtId="0" fontId="19" fillId="0" borderId="0" xfId="0" applyFont="1" applyAlignment="1">
      <alignment horizontal="center" vertical="center"/>
    </xf>
    <xf numFmtId="0" fontId="3" fillId="7" borderId="46" xfId="0" applyFont="1" applyFill="1" applyBorder="1" applyAlignment="1">
      <alignment horizontal="center"/>
    </xf>
    <xf numFmtId="0" fontId="3" fillId="10" borderId="46" xfId="0" applyFont="1" applyFill="1" applyBorder="1" applyAlignment="1">
      <alignment horizontal="center"/>
    </xf>
    <xf numFmtId="0" fontId="3" fillId="0" borderId="0" xfId="0" applyFont="1" applyAlignment="1">
      <alignment horizontal="left" wrapText="1"/>
    </xf>
    <xf numFmtId="0" fontId="3" fillId="6" borderId="48" xfId="0" applyFont="1" applyFill="1" applyBorder="1" applyAlignment="1">
      <alignment horizontal="center"/>
    </xf>
    <xf numFmtId="0" fontId="3" fillId="0" borderId="40" xfId="0" applyFont="1" applyBorder="1" applyAlignment="1">
      <alignment horizontal="left"/>
    </xf>
    <xf numFmtId="1" fontId="3" fillId="0" borderId="40" xfId="0" applyNumberFormat="1" applyFont="1" applyBorder="1" applyAlignment="1">
      <alignment horizontal="center"/>
    </xf>
    <xf numFmtId="0" fontId="3" fillId="0" borderId="40" xfId="0" applyFont="1" applyBorder="1" applyAlignment="1">
      <alignment horizontal="center"/>
    </xf>
    <xf numFmtId="2" fontId="3" fillId="0" borderId="40" xfId="0" applyNumberFormat="1" applyFont="1" applyBorder="1" applyAlignment="1">
      <alignment horizontal="center"/>
    </xf>
    <xf numFmtId="0" fontId="3" fillId="5" borderId="48" xfId="0" applyFont="1" applyFill="1" applyBorder="1" applyAlignment="1">
      <alignment horizontal="center"/>
    </xf>
    <xf numFmtId="0" fontId="3" fillId="9" borderId="48" xfId="0" applyFont="1" applyFill="1" applyBorder="1" applyAlignment="1">
      <alignment horizontal="center"/>
    </xf>
    <xf numFmtId="0" fontId="11" fillId="0" borderId="0" xfId="0" applyFont="1"/>
    <xf numFmtId="0" fontId="3" fillId="0" borderId="49" xfId="0" applyFont="1" applyBorder="1" applyAlignment="1">
      <alignment horizontal="left"/>
    </xf>
    <xf numFmtId="0" fontId="11" fillId="0" borderId="49" xfId="0" applyFont="1" applyBorder="1" applyAlignment="1">
      <alignment horizontal="center"/>
    </xf>
    <xf numFmtId="0" fontId="3" fillId="0" borderId="49" xfId="0" applyFont="1" applyBorder="1" applyAlignment="1">
      <alignment horizontal="center" vertical="center"/>
    </xf>
    <xf numFmtId="0" fontId="3" fillId="0" borderId="49" xfId="0" applyFont="1" applyBorder="1" applyAlignment="1">
      <alignment horizontal="center"/>
    </xf>
    <xf numFmtId="0" fontId="3" fillId="0" borderId="50" xfId="0" applyFont="1" applyBorder="1" applyAlignment="1">
      <alignment horizontal="center"/>
    </xf>
    <xf numFmtId="0" fontId="11" fillId="0" borderId="40" xfId="0" applyFont="1" applyBorder="1" applyAlignment="1">
      <alignment horizontal="center"/>
    </xf>
    <xf numFmtId="0" fontId="3" fillId="0" borderId="40" xfId="0" applyFont="1" applyBorder="1" applyAlignment="1">
      <alignment horizontal="center" vertical="center"/>
    </xf>
    <xf numFmtId="0" fontId="3" fillId="0" borderId="41" xfId="0" applyFont="1" applyBorder="1" applyAlignment="1">
      <alignment horizontal="center"/>
    </xf>
    <xf numFmtId="0" fontId="1" fillId="0" borderId="39" xfId="0" applyFont="1" applyBorder="1" applyAlignment="1">
      <alignment horizontal="center"/>
    </xf>
    <xf numFmtId="0" fontId="1" fillId="0" borderId="40" xfId="0" applyFont="1" applyBorder="1" applyAlignment="1">
      <alignment horizontal="center"/>
    </xf>
    <xf numFmtId="0" fontId="1" fillId="0" borderId="41" xfId="0" applyFont="1" applyBorder="1" applyAlignment="1">
      <alignment horizontal="center" vertical="center"/>
    </xf>
    <xf numFmtId="0" fontId="3" fillId="24" borderId="46" xfId="0" applyFont="1" applyFill="1" applyBorder="1" applyAlignment="1">
      <alignment horizontal="center"/>
    </xf>
    <xf numFmtId="0" fontId="3" fillId="25" borderId="46" xfId="0" applyFont="1" applyFill="1" applyBorder="1" applyAlignment="1">
      <alignment horizontal="center"/>
    </xf>
    <xf numFmtId="0" fontId="3" fillId="26" borderId="46" xfId="0" applyFont="1" applyFill="1" applyBorder="1" applyAlignment="1">
      <alignment horizontal="center"/>
    </xf>
    <xf numFmtId="0" fontId="3" fillId="26" borderId="46" xfId="0" applyFont="1" applyFill="1" applyBorder="1" applyAlignment="1">
      <alignment horizontal="center" vertical="center"/>
    </xf>
    <xf numFmtId="0" fontId="3" fillId="0" borderId="5" xfId="0" applyFont="1" applyBorder="1" applyAlignment="1">
      <alignment horizontal="center"/>
    </xf>
    <xf numFmtId="0" fontId="3" fillId="0" borderId="6" xfId="0" applyFont="1" applyBorder="1" applyAlignment="1">
      <alignment horizontal="center" vertical="center"/>
    </xf>
    <xf numFmtId="0" fontId="3" fillId="0" borderId="10" xfId="0" applyFont="1" applyBorder="1" applyAlignment="1">
      <alignment horizontal="center"/>
    </xf>
    <xf numFmtId="0" fontId="3" fillId="0" borderId="19" xfId="0" applyFont="1" applyBorder="1" applyAlignment="1">
      <alignment horizontal="center"/>
    </xf>
    <xf numFmtId="0" fontId="3" fillId="0" borderId="11" xfId="0" applyFont="1" applyBorder="1" applyAlignment="1">
      <alignment horizontal="center" vertical="center"/>
    </xf>
    <xf numFmtId="0" fontId="3" fillId="0" borderId="0" xfId="0" applyFont="1" applyAlignment="1">
      <alignment horizontal="left" vertical="top"/>
    </xf>
    <xf numFmtId="0" fontId="3" fillId="27" borderId="46" xfId="0" applyFont="1" applyFill="1" applyBorder="1" applyAlignment="1">
      <alignment horizontal="center"/>
    </xf>
    <xf numFmtId="0" fontId="3" fillId="26" borderId="46" xfId="0" applyFont="1" applyFill="1" applyBorder="1" applyAlignment="1">
      <alignment horizontal="center" wrapText="1"/>
    </xf>
    <xf numFmtId="0" fontId="3" fillId="11" borderId="52" xfId="0" applyFont="1" applyFill="1" applyBorder="1" applyAlignment="1">
      <alignment horizontal="center"/>
    </xf>
    <xf numFmtId="0" fontId="3" fillId="26" borderId="53" xfId="0" applyFont="1" applyFill="1" applyBorder="1" applyAlignment="1">
      <alignment horizontal="center"/>
    </xf>
    <xf numFmtId="0" fontId="3" fillId="26" borderId="53" xfId="0" applyFont="1" applyFill="1" applyBorder="1" applyAlignment="1">
      <alignment horizontal="center" vertical="center"/>
    </xf>
    <xf numFmtId="0" fontId="3" fillId="11" borderId="53" xfId="0" applyFont="1" applyFill="1" applyBorder="1" applyAlignment="1">
      <alignment horizontal="center" vertical="center"/>
    </xf>
    <xf numFmtId="0" fontId="3" fillId="26" borderId="54" xfId="0" applyFont="1" applyFill="1" applyBorder="1" applyAlignment="1">
      <alignment horizontal="center" vertical="center"/>
    </xf>
    <xf numFmtId="0" fontId="3" fillId="27" borderId="55" xfId="0" applyFont="1" applyFill="1" applyBorder="1" applyAlignment="1">
      <alignment horizontal="center"/>
    </xf>
    <xf numFmtId="0" fontId="3" fillId="27" borderId="46" xfId="0" applyFont="1" applyFill="1" applyBorder="1" applyAlignment="1">
      <alignment horizontal="center" vertical="center"/>
    </xf>
    <xf numFmtId="0" fontId="3" fillId="26" borderId="56" xfId="0" applyFont="1" applyFill="1" applyBorder="1" applyAlignment="1">
      <alignment horizontal="center" vertical="center"/>
    </xf>
    <xf numFmtId="0" fontId="3" fillId="24" borderId="55" xfId="0" applyFont="1" applyFill="1" applyBorder="1" applyAlignment="1">
      <alignment horizontal="center"/>
    </xf>
    <xf numFmtId="0" fontId="3" fillId="0" borderId="18" xfId="0" applyFont="1" applyBorder="1" applyAlignment="1">
      <alignment horizontal="center" vertical="center"/>
    </xf>
    <xf numFmtId="0" fontId="3" fillId="25" borderId="55" xfId="0" applyFont="1" applyFill="1" applyBorder="1" applyAlignment="1">
      <alignment horizontal="center"/>
    </xf>
    <xf numFmtId="0" fontId="3" fillId="18" borderId="57" xfId="0" applyFont="1" applyFill="1" applyBorder="1" applyAlignment="1">
      <alignment horizontal="center"/>
    </xf>
    <xf numFmtId="0" fontId="21" fillId="0" borderId="58" xfId="0" applyFont="1" applyBorder="1" applyAlignment="1">
      <alignment vertical="center"/>
    </xf>
    <xf numFmtId="0" fontId="1" fillId="0" borderId="59" xfId="0" applyFont="1" applyBorder="1" applyAlignment="1">
      <alignment vertical="center"/>
    </xf>
    <xf numFmtId="0" fontId="3" fillId="0" borderId="59" xfId="0" applyFont="1" applyBorder="1" applyAlignment="1">
      <alignment vertical="center"/>
    </xf>
    <xf numFmtId="0" fontId="3" fillId="0" borderId="60" xfId="0" applyFont="1" applyBorder="1" applyAlignment="1">
      <alignment vertical="center"/>
    </xf>
    <xf numFmtId="0" fontId="22" fillId="0" borderId="61" xfId="0" applyFont="1" applyBorder="1"/>
    <xf numFmtId="0" fontId="22" fillId="0" borderId="62" xfId="0" applyFont="1" applyBorder="1"/>
    <xf numFmtId="0" fontId="3" fillId="0" borderId="62" xfId="0" applyFont="1" applyBorder="1"/>
    <xf numFmtId="0" fontId="3" fillId="0" borderId="63" xfId="0" applyFont="1" applyBorder="1"/>
    <xf numFmtId="0" fontId="22" fillId="0" borderId="0" xfId="0" applyFont="1"/>
    <xf numFmtId="0" fontId="23" fillId="0" borderId="64" xfId="0" applyFont="1" applyBorder="1" applyAlignment="1">
      <alignment vertical="center"/>
    </xf>
    <xf numFmtId="0" fontId="3" fillId="0" borderId="65" xfId="0" applyFont="1" applyBorder="1" applyAlignment="1">
      <alignment vertical="center"/>
    </xf>
    <xf numFmtId="0" fontId="22" fillId="0" borderId="66" xfId="0" applyFont="1" applyBorder="1"/>
    <xf numFmtId="0" fontId="3" fillId="0" borderId="67" xfId="0" applyFont="1" applyBorder="1"/>
    <xf numFmtId="0" fontId="10" fillId="0" borderId="64" xfId="0" applyFont="1" applyBorder="1" applyAlignment="1">
      <alignment vertical="center"/>
    </xf>
    <xf numFmtId="0" fontId="10" fillId="0" borderId="0" xfId="0" applyFont="1" applyAlignment="1">
      <alignment vertical="center"/>
    </xf>
    <xf numFmtId="0" fontId="11" fillId="0" borderId="64" xfId="0" applyFont="1" applyBorder="1" applyAlignment="1">
      <alignment vertical="center"/>
    </xf>
    <xf numFmtId="0" fontId="11" fillId="0" borderId="0" xfId="0" applyFont="1" applyAlignment="1">
      <alignment vertical="center"/>
    </xf>
    <xf numFmtId="0" fontId="22" fillId="0" borderId="68" xfId="0" applyFont="1" applyBorder="1"/>
    <xf numFmtId="0" fontId="22" fillId="0" borderId="69" xfId="0" applyFont="1" applyBorder="1"/>
    <xf numFmtId="0" fontId="3" fillId="0" borderId="69" xfId="0" applyFont="1" applyBorder="1"/>
    <xf numFmtId="0" fontId="3" fillId="0" borderId="70" xfId="0" applyFont="1" applyBorder="1"/>
    <xf numFmtId="0" fontId="11" fillId="0" borderId="71" xfId="0" applyFont="1" applyBorder="1" applyAlignment="1">
      <alignment vertical="center"/>
    </xf>
    <xf numFmtId="0" fontId="11" fillId="0" borderId="72" xfId="0" applyFont="1" applyBorder="1" applyAlignment="1">
      <alignment vertical="center"/>
    </xf>
    <xf numFmtId="0" fontId="3" fillId="0" borderId="72" xfId="0" applyFont="1" applyBorder="1" applyAlignment="1">
      <alignment vertical="center"/>
    </xf>
    <xf numFmtId="0" fontId="3" fillId="0" borderId="73" xfId="0" applyFont="1" applyBorder="1" applyAlignment="1">
      <alignment vertical="center"/>
    </xf>
    <xf numFmtId="0" fontId="24" fillId="28" borderId="74" xfId="0" applyFont="1" applyFill="1" applyBorder="1" applyAlignment="1">
      <alignment vertical="center" wrapText="1"/>
    </xf>
    <xf numFmtId="0" fontId="24" fillId="28" borderId="75" xfId="0" applyFont="1" applyFill="1" applyBorder="1" applyAlignment="1">
      <alignment vertical="center" wrapText="1"/>
    </xf>
    <xf numFmtId="0" fontId="24" fillId="28" borderId="75" xfId="0" applyFont="1" applyFill="1" applyBorder="1" applyAlignment="1">
      <alignment horizontal="center" vertical="center" wrapText="1"/>
    </xf>
    <xf numFmtId="0" fontId="24" fillId="28" borderId="76" xfId="0" applyFont="1" applyFill="1" applyBorder="1" applyAlignment="1">
      <alignment vertical="center" wrapText="1"/>
    </xf>
    <xf numFmtId="0" fontId="16" fillId="29" borderId="78" xfId="0" applyFont="1" applyFill="1" applyBorder="1" applyAlignment="1">
      <alignment vertical="top" wrapText="1"/>
    </xf>
    <xf numFmtId="0" fontId="16" fillId="29" borderId="78" xfId="0" applyFont="1" applyFill="1" applyBorder="1" applyAlignment="1">
      <alignment horizontal="center" vertical="top" wrapText="1"/>
    </xf>
    <xf numFmtId="0" fontId="25" fillId="29" borderId="79" xfId="0" applyFont="1" applyFill="1" applyBorder="1" applyAlignment="1">
      <alignment vertical="top" wrapText="1"/>
    </xf>
    <xf numFmtId="0" fontId="16" fillId="29" borderId="46" xfId="0" applyFont="1" applyFill="1" applyBorder="1" applyAlignment="1">
      <alignment vertical="top" wrapText="1"/>
    </xf>
    <xf numFmtId="0" fontId="16" fillId="29" borderId="46" xfId="0" applyFont="1" applyFill="1" applyBorder="1" applyAlignment="1">
      <alignment horizontal="center" vertical="top" wrapText="1"/>
    </xf>
    <xf numFmtId="0" fontId="25" fillId="29" borderId="81" xfId="0" applyFont="1" applyFill="1" applyBorder="1" applyAlignment="1">
      <alignment vertical="top" wrapText="1"/>
    </xf>
    <xf numFmtId="0" fontId="16" fillId="29" borderId="82" xfId="0" applyFont="1" applyFill="1" applyBorder="1" applyAlignment="1">
      <alignment vertical="top" wrapText="1"/>
    </xf>
    <xf numFmtId="0" fontId="16" fillId="29" borderId="82" xfId="0" applyFont="1" applyFill="1" applyBorder="1" applyAlignment="1">
      <alignment horizontal="center" vertical="top" wrapText="1"/>
    </xf>
    <xf numFmtId="0" fontId="25" fillId="29" borderId="83" xfId="0" applyFont="1" applyFill="1" applyBorder="1" applyAlignment="1">
      <alignment vertical="top" wrapText="1"/>
    </xf>
    <xf numFmtId="11" fontId="16" fillId="29" borderId="46" xfId="0" applyNumberFormat="1" applyFont="1" applyFill="1" applyBorder="1" applyAlignment="1">
      <alignment vertical="top" wrapText="1"/>
    </xf>
    <xf numFmtId="0" fontId="16" fillId="29" borderId="85" xfId="0" applyFont="1" applyFill="1" applyBorder="1" applyAlignment="1">
      <alignment vertical="top" wrapText="1"/>
    </xf>
    <xf numFmtId="3" fontId="16" fillId="29" borderId="82" xfId="0" applyNumberFormat="1" applyFont="1" applyFill="1" applyBorder="1" applyAlignment="1">
      <alignment horizontal="left" vertical="top" wrapText="1"/>
    </xf>
    <xf numFmtId="3" fontId="16" fillId="29" borderId="46" xfId="0" applyNumberFormat="1" applyFont="1" applyFill="1" applyBorder="1" applyAlignment="1">
      <alignment horizontal="left" vertical="top" wrapText="1"/>
    </xf>
    <xf numFmtId="0" fontId="16" fillId="29" borderId="87" xfId="0" applyFont="1" applyFill="1" applyBorder="1" applyAlignment="1">
      <alignment vertical="top" wrapText="1"/>
    </xf>
    <xf numFmtId="11" fontId="16" fillId="29" borderId="82" xfId="0" applyNumberFormat="1" applyFont="1" applyFill="1" applyBorder="1" applyAlignment="1">
      <alignment vertical="top" wrapText="1"/>
    </xf>
    <xf numFmtId="0" fontId="16" fillId="29" borderId="92" xfId="0" applyFont="1" applyFill="1" applyBorder="1" applyAlignment="1">
      <alignment vertical="top" wrapText="1"/>
    </xf>
    <xf numFmtId="0" fontId="16" fillId="29" borderId="92" xfId="0" applyFont="1" applyFill="1" applyBorder="1" applyAlignment="1">
      <alignment horizontal="center" vertical="top" wrapText="1"/>
    </xf>
    <xf numFmtId="0" fontId="25" fillId="29" borderId="93" xfId="0" applyFont="1" applyFill="1" applyBorder="1" applyAlignment="1">
      <alignment vertical="top" wrapText="1"/>
    </xf>
    <xf numFmtId="0" fontId="26" fillId="0" borderId="0" xfId="0" applyFont="1" applyAlignment="1">
      <alignment horizontal="center" vertical="center"/>
    </xf>
    <xf numFmtId="0" fontId="3" fillId="30" borderId="1" xfId="0" applyFont="1" applyFill="1" applyBorder="1"/>
    <xf numFmtId="0" fontId="3" fillId="24" borderId="52" xfId="0" applyFont="1" applyFill="1" applyBorder="1" applyAlignment="1">
      <alignment horizontal="center"/>
    </xf>
    <xf numFmtId="0" fontId="3" fillId="24" borderId="53" xfId="0" applyFont="1" applyFill="1" applyBorder="1" applyAlignment="1">
      <alignment horizontal="center"/>
    </xf>
    <xf numFmtId="0" fontId="3" fillId="24" borderId="57" xfId="0" applyFont="1" applyFill="1" applyBorder="1" applyAlignment="1">
      <alignment horizontal="center"/>
    </xf>
    <xf numFmtId="0" fontId="3" fillId="24" borderId="23" xfId="0" applyFont="1" applyFill="1" applyBorder="1" applyAlignment="1">
      <alignment horizontal="center"/>
    </xf>
    <xf numFmtId="0" fontId="3" fillId="0" borderId="19" xfId="0" applyFont="1" applyBorder="1" applyAlignment="1">
      <alignment horizontal="center" vertical="center"/>
    </xf>
    <xf numFmtId="0" fontId="3" fillId="25" borderId="52" xfId="0" applyFont="1" applyFill="1" applyBorder="1" applyAlignment="1">
      <alignment horizontal="center"/>
    </xf>
    <xf numFmtId="0" fontId="3" fillId="25" borderId="53" xfId="0" applyFont="1" applyFill="1" applyBorder="1" applyAlignment="1">
      <alignment horizontal="center"/>
    </xf>
    <xf numFmtId="0" fontId="3" fillId="25" borderId="57" xfId="0" applyFont="1" applyFill="1" applyBorder="1" applyAlignment="1">
      <alignment horizontal="center"/>
    </xf>
    <xf numFmtId="0" fontId="3" fillId="25" borderId="23" xfId="0" applyFont="1" applyFill="1" applyBorder="1" applyAlignment="1">
      <alignment horizontal="center"/>
    </xf>
    <xf numFmtId="0" fontId="3" fillId="18" borderId="52" xfId="0" applyFont="1" applyFill="1" applyBorder="1" applyAlignment="1">
      <alignment horizontal="center" vertical="center"/>
    </xf>
    <xf numFmtId="0" fontId="3" fillId="18" borderId="55" xfId="0" applyFont="1" applyFill="1" applyBorder="1" applyAlignment="1">
      <alignment horizontal="center"/>
    </xf>
    <xf numFmtId="0" fontId="3" fillId="0" borderId="20" xfId="0" applyFont="1" applyBorder="1" applyAlignment="1">
      <alignment horizontal="center" vertical="center"/>
    </xf>
    <xf numFmtId="0" fontId="3" fillId="11" borderId="55" xfId="0" applyFont="1" applyFill="1" applyBorder="1" applyAlignment="1">
      <alignment horizontal="center"/>
    </xf>
    <xf numFmtId="0" fontId="3" fillId="27" borderId="57" xfId="0" applyFont="1" applyFill="1" applyBorder="1" applyAlignment="1">
      <alignment horizontal="center"/>
    </xf>
    <xf numFmtId="0" fontId="3" fillId="27" borderId="23" xfId="0" applyFont="1" applyFill="1" applyBorder="1" applyAlignment="1">
      <alignment horizontal="center" vertical="center"/>
    </xf>
    <xf numFmtId="0" fontId="3" fillId="0" borderId="17" xfId="0" applyFont="1" applyBorder="1" applyAlignment="1">
      <alignment horizontal="center"/>
    </xf>
    <xf numFmtId="0" fontId="3" fillId="0" borderId="20" xfId="0" applyFont="1" applyBorder="1" applyAlignment="1">
      <alignment horizontal="center" wrapText="1"/>
    </xf>
    <xf numFmtId="0" fontId="3" fillId="0" borderId="10" xfId="0" applyFont="1" applyBorder="1"/>
    <xf numFmtId="0" fontId="3" fillId="0" borderId="19" xfId="0" applyFont="1" applyBorder="1"/>
    <xf numFmtId="0" fontId="3" fillId="0" borderId="11" xfId="0" applyFont="1" applyBorder="1"/>
    <xf numFmtId="0" fontId="10" fillId="0" borderId="19" xfId="0" applyFont="1" applyBorder="1" applyAlignment="1">
      <alignment horizontal="center" vertical="center"/>
    </xf>
    <xf numFmtId="0" fontId="3" fillId="0" borderId="4" xfId="0" applyFont="1" applyBorder="1"/>
    <xf numFmtId="0" fontId="3" fillId="0" borderId="1" xfId="0" applyFont="1" applyBorder="1"/>
    <xf numFmtId="0" fontId="3" fillId="0" borderId="2" xfId="0" applyFont="1" applyBorder="1"/>
    <xf numFmtId="0" fontId="3" fillId="0" borderId="16" xfId="0" applyFont="1" applyBorder="1"/>
    <xf numFmtId="0" fontId="27" fillId="0" borderId="0" xfId="0" applyFont="1"/>
    <xf numFmtId="0" fontId="3" fillId="0" borderId="1" xfId="0" applyFont="1" applyBorder="1" applyAlignment="1">
      <alignment horizontal="center"/>
    </xf>
    <xf numFmtId="0" fontId="3" fillId="0" borderId="1" xfId="0" applyFont="1" applyBorder="1" applyAlignment="1">
      <alignment horizontal="right"/>
    </xf>
    <xf numFmtId="0" fontId="3" fillId="14" borderId="30" xfId="0" applyFont="1" applyFill="1" applyBorder="1" applyAlignment="1">
      <alignment horizontal="center"/>
    </xf>
    <xf numFmtId="0" fontId="3" fillId="0" borderId="25" xfId="0" applyFont="1" applyBorder="1" applyAlignment="1">
      <alignment horizontal="center"/>
    </xf>
    <xf numFmtId="0" fontId="3" fillId="24" borderId="30" xfId="0" applyFont="1" applyFill="1" applyBorder="1" applyAlignment="1">
      <alignment horizontal="center"/>
    </xf>
    <xf numFmtId="0" fontId="3" fillId="0" borderId="16" xfId="0" applyFont="1" applyBorder="1" applyAlignment="1">
      <alignment horizontal="center"/>
    </xf>
    <xf numFmtId="0" fontId="3" fillId="0" borderId="2" xfId="0" applyFont="1" applyBorder="1" applyAlignment="1">
      <alignment vertical="center"/>
    </xf>
    <xf numFmtId="0" fontId="3" fillId="0" borderId="3" xfId="0" applyFont="1" applyBorder="1"/>
    <xf numFmtId="14" fontId="3" fillId="0" borderId="0" xfId="0" applyNumberFormat="1" applyFont="1"/>
    <xf numFmtId="16" fontId="3" fillId="0" borderId="0" xfId="0" applyNumberFormat="1" applyFont="1" applyAlignment="1">
      <alignment horizontal="left"/>
    </xf>
    <xf numFmtId="165" fontId="3" fillId="0" borderId="0" xfId="1" applyNumberFormat="1" applyFont="1" applyAlignment="1">
      <alignment vertical="center"/>
    </xf>
    <xf numFmtId="165" fontId="3" fillId="0" borderId="0" xfId="1" applyNumberFormat="1" applyFont="1" applyAlignment="1">
      <alignment horizontal="center" vertical="center"/>
    </xf>
    <xf numFmtId="0" fontId="3" fillId="4" borderId="37" xfId="0" applyFont="1" applyFill="1" applyBorder="1" applyAlignment="1">
      <alignment horizontal="center" vertical="center" wrapText="1"/>
    </xf>
    <xf numFmtId="0" fontId="2" fillId="0" borderId="38" xfId="0" applyFont="1" applyBorder="1"/>
    <xf numFmtId="0" fontId="2" fillId="0" borderId="47" xfId="0" applyFont="1" applyBorder="1"/>
    <xf numFmtId="0" fontId="11" fillId="4" borderId="37" xfId="0" applyFont="1" applyFill="1" applyBorder="1" applyAlignment="1">
      <alignment horizontal="center" vertical="center" wrapText="1"/>
    </xf>
    <xf numFmtId="0" fontId="2" fillId="0" borderId="45" xfId="0" applyFont="1" applyBorder="1"/>
    <xf numFmtId="0" fontId="3" fillId="4" borderId="37" xfId="0" applyFont="1" applyFill="1" applyBorder="1" applyAlignment="1">
      <alignment horizontal="center" vertical="center"/>
    </xf>
    <xf numFmtId="0" fontId="3" fillId="23" borderId="37" xfId="0" applyFont="1" applyFill="1" applyBorder="1" applyAlignment="1">
      <alignment horizontal="center"/>
    </xf>
    <xf numFmtId="0" fontId="11" fillId="4" borderId="51" xfId="0" applyFont="1" applyFill="1" applyBorder="1" applyAlignment="1">
      <alignment horizontal="center" vertical="center"/>
    </xf>
    <xf numFmtId="0" fontId="1" fillId="2" borderId="2" xfId="0" applyFont="1" applyFill="1" applyBorder="1" applyAlignment="1">
      <alignment horizontal="center"/>
    </xf>
    <xf numFmtId="0" fontId="2" fillId="0" borderId="3" xfId="0" applyFont="1" applyBorder="1"/>
    <xf numFmtId="0" fontId="2" fillId="0" borderId="4" xfId="0" applyFont="1" applyBorder="1"/>
    <xf numFmtId="0" fontId="3" fillId="2" borderId="5" xfId="0" applyFont="1" applyFill="1" applyBorder="1" applyAlignment="1">
      <alignment horizontal="center" vertical="center" wrapText="1"/>
    </xf>
    <xf numFmtId="0" fontId="2" fillId="0" borderId="6" xfId="0" applyFont="1" applyBorder="1"/>
    <xf numFmtId="0" fontId="2" fillId="0" borderId="10" xfId="0" applyFont="1" applyBorder="1"/>
    <xf numFmtId="0" fontId="2" fillId="0" borderId="11" xfId="0" applyFont="1" applyBorder="1"/>
    <xf numFmtId="0" fontId="3" fillId="2" borderId="7" xfId="0" applyFont="1" applyFill="1" applyBorder="1" applyAlignment="1">
      <alignment horizontal="center"/>
    </xf>
    <xf numFmtId="0" fontId="2" fillId="0" borderId="8" xfId="0" applyFont="1" applyBorder="1"/>
    <xf numFmtId="0" fontId="2" fillId="0" borderId="9" xfId="0" applyFont="1" applyBorder="1"/>
    <xf numFmtId="0" fontId="3" fillId="2" borderId="12" xfId="0" applyFont="1" applyFill="1" applyBorder="1" applyAlignment="1">
      <alignment horizontal="center" vertical="center"/>
    </xf>
    <xf numFmtId="0" fontId="2" fillId="0" borderId="15" xfId="0" applyFont="1" applyBorder="1"/>
    <xf numFmtId="0" fontId="3" fillId="2" borderId="2" xfId="0" applyFont="1" applyFill="1" applyBorder="1" applyAlignment="1">
      <alignment horizontal="center" vertical="center"/>
    </xf>
    <xf numFmtId="0" fontId="2" fillId="0" borderId="13" xfId="0" applyFont="1" applyBorder="1"/>
    <xf numFmtId="0" fontId="3" fillId="2" borderId="14" xfId="0" applyFont="1" applyFill="1" applyBorder="1" applyAlignment="1">
      <alignment horizontal="center" vertical="center"/>
    </xf>
    <xf numFmtId="0" fontId="2" fillId="0" borderId="16" xfId="0" applyFont="1" applyBorder="1"/>
    <xf numFmtId="0" fontId="4" fillId="2" borderId="5" xfId="0" applyFont="1" applyFill="1" applyBorder="1" applyAlignment="1">
      <alignment horizontal="center" vertical="center" wrapText="1"/>
    </xf>
    <xf numFmtId="0" fontId="2" fillId="0" borderId="17" xfId="0" applyFont="1" applyBorder="1"/>
    <xf numFmtId="0" fontId="2" fillId="0" borderId="18" xfId="0" applyFont="1" applyBorder="1"/>
    <xf numFmtId="0" fontId="3" fillId="2" borderId="2" xfId="0" applyFont="1" applyFill="1" applyBorder="1" applyAlignment="1">
      <alignment horizontal="left"/>
    </xf>
    <xf numFmtId="0" fontId="3" fillId="2" borderId="2" xfId="0" applyFont="1" applyFill="1" applyBorder="1" applyAlignment="1">
      <alignment horizontal="left" vertical="center"/>
    </xf>
    <xf numFmtId="0" fontId="3" fillId="3" borderId="1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 fillId="0" borderId="20" xfId="0" applyFont="1" applyBorder="1"/>
    <xf numFmtId="0" fontId="2" fillId="0" borderId="19" xfId="0" applyFont="1" applyBorder="1"/>
    <xf numFmtId="0" fontId="1" fillId="2" borderId="2" xfId="0" applyFont="1" applyFill="1" applyBorder="1" applyAlignment="1">
      <alignment horizontal="center" vertical="center"/>
    </xf>
    <xf numFmtId="0" fontId="3" fillId="0" borderId="20" xfId="0" applyFont="1" applyBorder="1" applyAlignment="1">
      <alignment horizontal="center"/>
    </xf>
    <xf numFmtId="0" fontId="3" fillId="2" borderId="2" xfId="0" applyFont="1" applyFill="1" applyBorder="1" applyAlignment="1">
      <alignment horizontal="center"/>
    </xf>
    <xf numFmtId="0" fontId="3" fillId="0" borderId="0" xfId="0" applyFont="1" applyAlignment="1">
      <alignment horizontal="center"/>
    </xf>
    <xf numFmtId="0" fontId="0" fillId="0" borderId="0" xfId="0"/>
    <xf numFmtId="0" fontId="2" fillId="0" borderId="25" xfId="0" applyFont="1" applyBorder="1"/>
    <xf numFmtId="0" fontId="7" fillId="2" borderId="26" xfId="0" applyFont="1" applyFill="1" applyBorder="1" applyAlignment="1">
      <alignment horizontal="center"/>
    </xf>
    <xf numFmtId="9" fontId="3" fillId="0" borderId="20" xfId="0" applyNumberFormat="1" applyFont="1" applyBorder="1" applyAlignment="1">
      <alignment horizontal="center"/>
    </xf>
    <xf numFmtId="9" fontId="3" fillId="0" borderId="0" xfId="0" applyNumberFormat="1" applyFont="1" applyAlignment="1">
      <alignment horizontal="center"/>
    </xf>
    <xf numFmtId="9" fontId="3" fillId="0" borderId="19" xfId="0" applyNumberFormat="1" applyFont="1" applyBorder="1" applyAlignment="1">
      <alignment horizontal="center"/>
    </xf>
    <xf numFmtId="0" fontId="3" fillId="2" borderId="14" xfId="0" applyFont="1" applyFill="1" applyBorder="1" applyAlignment="1">
      <alignment horizontal="center" vertical="center" wrapText="1"/>
    </xf>
    <xf numFmtId="0" fontId="9" fillId="2" borderId="2" xfId="0" applyFont="1" applyFill="1" applyBorder="1" applyAlignment="1">
      <alignment horizontal="center" vertical="center"/>
    </xf>
    <xf numFmtId="0" fontId="3" fillId="2" borderId="28" xfId="0" applyFont="1" applyFill="1" applyBorder="1" applyAlignment="1">
      <alignment horizontal="center" wrapText="1"/>
    </xf>
    <xf numFmtId="0" fontId="2" fillId="0" borderId="29" xfId="0" applyFont="1" applyBorder="1"/>
    <xf numFmtId="0" fontId="3" fillId="3" borderId="32" xfId="0" applyFont="1" applyFill="1" applyBorder="1" applyAlignment="1">
      <alignment horizontal="center" vertical="center" wrapText="1"/>
    </xf>
    <xf numFmtId="0" fontId="2" fillId="0" borderId="33" xfId="0" applyFont="1" applyBorder="1"/>
    <xf numFmtId="0" fontId="2" fillId="0" borderId="34" xfId="0" applyFont="1" applyBorder="1"/>
    <xf numFmtId="0" fontId="3" fillId="2" borderId="14" xfId="0" applyFont="1" applyFill="1" applyBorder="1" applyAlignment="1">
      <alignment horizontal="center" wrapText="1"/>
    </xf>
    <xf numFmtId="0" fontId="8" fillId="2" borderId="2" xfId="0" applyFont="1" applyFill="1" applyBorder="1" applyAlignment="1">
      <alignment horizontal="center"/>
    </xf>
    <xf numFmtId="0" fontId="3" fillId="2" borderId="5" xfId="0" applyFont="1" applyFill="1" applyBorder="1" applyAlignment="1">
      <alignment horizontal="center" wrapText="1"/>
    </xf>
    <xf numFmtId="0" fontId="20" fillId="0" borderId="0" xfId="0" applyFont="1" applyAlignment="1">
      <alignment horizontal="center" wrapText="1"/>
    </xf>
    <xf numFmtId="0" fontId="3" fillId="0" borderId="0" xfId="0" applyFont="1" applyAlignment="1">
      <alignment horizontal="center" wrapText="1"/>
    </xf>
    <xf numFmtId="0" fontId="16" fillId="29" borderId="86" xfId="0" applyFont="1" applyFill="1" applyBorder="1" applyAlignment="1">
      <alignment vertical="top" wrapText="1"/>
    </xf>
    <xf numFmtId="0" fontId="2" fillId="0" borderId="89" xfId="0" applyFont="1" applyBorder="1"/>
    <xf numFmtId="0" fontId="25" fillId="29" borderId="88" xfId="0" applyFont="1" applyFill="1" applyBorder="1" applyAlignment="1">
      <alignment vertical="top" wrapText="1"/>
    </xf>
    <xf numFmtId="0" fontId="2" fillId="0" borderId="90" xfId="0" applyFont="1" applyBorder="1"/>
    <xf numFmtId="0" fontId="16" fillId="29" borderId="77" xfId="0" applyFont="1" applyFill="1" applyBorder="1" applyAlignment="1">
      <alignment vertical="top" wrapText="1"/>
    </xf>
    <xf numFmtId="0" fontId="2" fillId="0" borderId="80" xfId="0" applyFont="1" applyBorder="1"/>
    <xf numFmtId="0" fontId="2" fillId="0" borderId="84" xfId="0" applyFont="1" applyBorder="1"/>
    <xf numFmtId="0" fontId="16" fillId="29" borderId="86" xfId="0" applyFont="1" applyFill="1" applyBorder="1" applyAlignment="1">
      <alignment horizontal="center" vertical="top" wrapText="1"/>
    </xf>
    <xf numFmtId="0" fontId="2" fillId="0" borderId="91" xfId="0" applyFont="1" applyBorder="1"/>
    <xf numFmtId="0" fontId="3" fillId="0" borderId="14"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20" xfId="0" applyFont="1" applyBorder="1" applyAlignment="1">
      <alignment horizontal="center" vertical="center" wrapText="1"/>
    </xf>
    <xf numFmtId="0" fontId="1" fillId="0" borderId="19" xfId="0" applyFont="1" applyBorder="1" applyAlignment="1">
      <alignment horizontal="center"/>
    </xf>
    <xf numFmtId="0" fontId="11" fillId="0" borderId="0" xfId="0" applyFont="1" applyAlignment="1">
      <alignment horizontal="center" vertical="center" wrapText="1"/>
    </xf>
  </cellXfs>
  <cellStyles count="2">
    <cellStyle name="Dziesiętny" xfId="1" builtinId="3"/>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1"/>
  <c:style val="2"/>
  <c:chart>
    <c:autoTitleDeleted val="1"/>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yVal>
            <c:numRef>
              <c:f>'Tool versions'!$C$2:$C$46</c:f>
              <c:numCache>
                <c:formatCode>General</c:formatCode>
                <c:ptCount val="45"/>
                <c:pt idx="0">
                  <c:v>2023</c:v>
                </c:pt>
                <c:pt idx="1">
                  <c:v>2022</c:v>
                </c:pt>
                <c:pt idx="2">
                  <c:v>2022</c:v>
                </c:pt>
                <c:pt idx="3">
                  <c:v>2022</c:v>
                </c:pt>
                <c:pt idx="4">
                  <c:v>2021</c:v>
                </c:pt>
                <c:pt idx="5">
                  <c:v>2020</c:v>
                </c:pt>
                <c:pt idx="6">
                  <c:v>2020</c:v>
                </c:pt>
                <c:pt idx="7">
                  <c:v>2019</c:v>
                </c:pt>
                <c:pt idx="8">
                  <c:v>2018</c:v>
                </c:pt>
                <c:pt idx="9">
                  <c:v>2018</c:v>
                </c:pt>
                <c:pt idx="10">
                  <c:v>2012</c:v>
                </c:pt>
                <c:pt idx="11">
                  <c:v>2012</c:v>
                </c:pt>
                <c:pt idx="12">
                  <c:v>2012</c:v>
                </c:pt>
                <c:pt idx="13">
                  <c:v>2013</c:v>
                </c:pt>
                <c:pt idx="14">
                  <c:v>2012</c:v>
                </c:pt>
                <c:pt idx="15">
                  <c:v>2011</c:v>
                </c:pt>
                <c:pt idx="16">
                  <c:v>2016</c:v>
                </c:pt>
                <c:pt idx="17">
                  <c:v>2023</c:v>
                </c:pt>
                <c:pt idx="18">
                  <c:v>2020</c:v>
                </c:pt>
                <c:pt idx="19">
                  <c:v>2019</c:v>
                </c:pt>
                <c:pt idx="20">
                  <c:v>2017</c:v>
                </c:pt>
                <c:pt idx="21">
                  <c:v>2016</c:v>
                </c:pt>
                <c:pt idx="22">
                  <c:v>2016</c:v>
                </c:pt>
                <c:pt idx="23">
                  <c:v>2016</c:v>
                </c:pt>
                <c:pt idx="24">
                  <c:v>2015</c:v>
                </c:pt>
                <c:pt idx="25">
                  <c:v>2011</c:v>
                </c:pt>
                <c:pt idx="26">
                  <c:v>2019</c:v>
                </c:pt>
                <c:pt idx="27">
                  <c:v>2017</c:v>
                </c:pt>
                <c:pt idx="28">
                  <c:v>2016</c:v>
                </c:pt>
                <c:pt idx="29">
                  <c:v>2015</c:v>
                </c:pt>
                <c:pt idx="30">
                  <c:v>2014</c:v>
                </c:pt>
                <c:pt idx="31">
                  <c:v>2014</c:v>
                </c:pt>
                <c:pt idx="32">
                  <c:v>2014</c:v>
                </c:pt>
                <c:pt idx="33">
                  <c:v>2014</c:v>
                </c:pt>
                <c:pt idx="34">
                  <c:v>2014</c:v>
                </c:pt>
                <c:pt idx="35">
                  <c:v>2014</c:v>
                </c:pt>
                <c:pt idx="36">
                  <c:v>2016</c:v>
                </c:pt>
                <c:pt idx="37">
                  <c:v>2020</c:v>
                </c:pt>
                <c:pt idx="38">
                  <c:v>2020</c:v>
                </c:pt>
                <c:pt idx="39">
                  <c:v>2019</c:v>
                </c:pt>
                <c:pt idx="40">
                  <c:v>2019</c:v>
                </c:pt>
                <c:pt idx="41">
                  <c:v>2018</c:v>
                </c:pt>
                <c:pt idx="42">
                  <c:v>2018</c:v>
                </c:pt>
                <c:pt idx="43">
                  <c:v>2017</c:v>
                </c:pt>
                <c:pt idx="44">
                  <c:v>2017</c:v>
                </c:pt>
              </c:numCache>
            </c:numRef>
          </c:yVal>
          <c:smooth val="1"/>
          <c:extLst>
            <c:ext xmlns:c16="http://schemas.microsoft.com/office/drawing/2014/chart" uri="{C3380CC4-5D6E-409C-BE32-E72D297353CC}">
              <c16:uniqueId val="{00000000-6DED-054F-84D4-422ECED67A12}"/>
            </c:ext>
          </c:extLst>
        </c:ser>
        <c:dLbls>
          <c:showLegendKey val="0"/>
          <c:showVal val="0"/>
          <c:showCatName val="0"/>
          <c:showSerName val="0"/>
          <c:showPercent val="0"/>
          <c:showBubbleSize val="0"/>
        </c:dLbls>
        <c:axId val="900989896"/>
        <c:axId val="1632182546"/>
      </c:scatterChart>
      <c:valAx>
        <c:axId val="90098989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pl-PL"/>
          </a:p>
        </c:txPr>
        <c:crossAx val="1632182546"/>
        <c:crosses val="autoZero"/>
        <c:crossBetween val="midCat"/>
      </c:valAx>
      <c:valAx>
        <c:axId val="16321825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pl-PL"/>
          </a:p>
        </c:txPr>
        <c:crossAx val="900989896"/>
        <c:crosses val="autoZero"/>
        <c:crossBetween val="midCat"/>
      </c:valAx>
    </c:plotArea>
    <c:legend>
      <c:legendPos val="b"/>
      <c:overlay val="0"/>
      <c:txPr>
        <a:bodyPr/>
        <a:lstStyle/>
        <a:p>
          <a:pPr lvl="0">
            <a:defRPr sz="900" b="0" i="0">
              <a:solidFill>
                <a:srgbClr val="1A1A1A"/>
              </a:solidFill>
              <a:latin typeface="+mn-lt"/>
            </a:defRPr>
          </a:pPr>
          <a:endParaRPr lang="pl-PL"/>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314325</xdr:colOff>
      <xdr:row>5</xdr:row>
      <xdr:rowOff>114300</xdr:rowOff>
    </xdr:from>
    <xdr:ext cx="3905250" cy="27432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3389/fgene.2021.739054" TargetMode="External"/><Relationship Id="rId7" Type="http://schemas.openxmlformats.org/officeDocument/2006/relationships/hyperlink" Target="https://doi.org/10.1101%2Fgr.186114.114" TargetMode="External"/><Relationship Id="rId2" Type="http://schemas.openxmlformats.org/officeDocument/2006/relationships/hyperlink" Target="https://www.ncbi.nlm.nih.gov/pmc/articles/PMC7919457/" TargetMode="External"/><Relationship Id="rId1" Type="http://schemas.openxmlformats.org/officeDocument/2006/relationships/hyperlink" Target="https://data.broadinstitute.org/Trinity/CTAT_FUSIONTRANS_BENCHMARKING/on_cancer_cell_lines/" TargetMode="External"/><Relationship Id="rId6" Type="http://schemas.openxmlformats.org/officeDocument/2006/relationships/hyperlink" Target="https://doi.org/10.1093/bioinformatics/btab249" TargetMode="External"/><Relationship Id="rId5" Type="http://schemas.openxmlformats.org/officeDocument/2006/relationships/hyperlink" Target="https://doi.org/10.1080/15476286.2021.1940047" TargetMode="External"/><Relationship Id="rId4" Type="http://schemas.openxmlformats.org/officeDocument/2006/relationships/hyperlink" Target="https://doi.org/10.1186/s12864-018-5156-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3389/fgene.2021.739054" TargetMode="External"/><Relationship Id="rId13" Type="http://schemas.openxmlformats.org/officeDocument/2006/relationships/hyperlink" Target="https://doi.org/10.1080/15476286.2021.1940047" TargetMode="External"/><Relationship Id="rId18" Type="http://schemas.openxmlformats.org/officeDocument/2006/relationships/hyperlink" Target="https://doi.org/10.1093/bioinformatics/btab249" TargetMode="External"/><Relationship Id="rId26" Type="http://schemas.openxmlformats.org/officeDocument/2006/relationships/hyperlink" Target="https://doi.org/10.1186/s13073-015-0167-x" TargetMode="External"/><Relationship Id="rId3" Type="http://schemas.openxmlformats.org/officeDocument/2006/relationships/hyperlink" Target="https://www.ncbi.nlm.nih.gov/pmc/articles/PMC7919457/" TargetMode="External"/><Relationship Id="rId21" Type="http://schemas.openxmlformats.org/officeDocument/2006/relationships/hyperlink" Target="https://doi.org/10.1093/bioinformatics/btab249" TargetMode="External"/><Relationship Id="rId7" Type="http://schemas.openxmlformats.org/officeDocument/2006/relationships/hyperlink" Target="https://doi.org/10.3389/fgene.2021.739054" TargetMode="External"/><Relationship Id="rId12" Type="http://schemas.openxmlformats.org/officeDocument/2006/relationships/hyperlink" Target="https://doi.org/10.1080/15476286.2021.1940047" TargetMode="External"/><Relationship Id="rId17" Type="http://schemas.openxmlformats.org/officeDocument/2006/relationships/hyperlink" Target="https://doi.org/10.1080/15476286.2021.1940047" TargetMode="External"/><Relationship Id="rId25" Type="http://schemas.openxmlformats.org/officeDocument/2006/relationships/hyperlink" Target="https://doi.org/10.1101%2Fgr.186114.114" TargetMode="External"/><Relationship Id="rId2" Type="http://schemas.openxmlformats.org/officeDocument/2006/relationships/hyperlink" Target="https://www.ncbi.nlm.nih.gov/pmc/articles/PMC7919457/" TargetMode="External"/><Relationship Id="rId16" Type="http://schemas.openxmlformats.org/officeDocument/2006/relationships/hyperlink" Target="https://doi.org/10.1080/15476286.2021.1940047" TargetMode="External"/><Relationship Id="rId20" Type="http://schemas.openxmlformats.org/officeDocument/2006/relationships/hyperlink" Target="https://doi.org/10.1093/bioinformatics/btab249" TargetMode="External"/><Relationship Id="rId1" Type="http://schemas.openxmlformats.org/officeDocument/2006/relationships/hyperlink" Target="https://www.ncbi.nlm.nih.gov/pmc/articles/PMC7919457/" TargetMode="External"/><Relationship Id="rId6" Type="http://schemas.openxmlformats.org/officeDocument/2006/relationships/hyperlink" Target="https://doi.org/10.3389/fgene.2021.739054" TargetMode="External"/><Relationship Id="rId11" Type="http://schemas.openxmlformats.org/officeDocument/2006/relationships/hyperlink" Target="https://doi.org/10.1186/s12864-018-5156-1" TargetMode="External"/><Relationship Id="rId24" Type="http://schemas.openxmlformats.org/officeDocument/2006/relationships/hyperlink" Target="https://doi.org/10.1101%2Fgr.186114.114" TargetMode="External"/><Relationship Id="rId5" Type="http://schemas.openxmlformats.org/officeDocument/2006/relationships/hyperlink" Target="https://www.ncbi.nlm.nih.gov/pmc/articles/PMC7919457/" TargetMode="External"/><Relationship Id="rId15" Type="http://schemas.openxmlformats.org/officeDocument/2006/relationships/hyperlink" Target="https://doi.org/10.1080/15476286.2021.1940047" TargetMode="External"/><Relationship Id="rId23" Type="http://schemas.openxmlformats.org/officeDocument/2006/relationships/hyperlink" Target="https://doi.org/10.1093/bioinformatics/btab249" TargetMode="External"/><Relationship Id="rId28" Type="http://schemas.openxmlformats.org/officeDocument/2006/relationships/hyperlink" Target="https://doi.org/10.1186/s13073-015-0167-x" TargetMode="External"/><Relationship Id="rId10" Type="http://schemas.openxmlformats.org/officeDocument/2006/relationships/hyperlink" Target="https://doi.org/10.1186/s12864-018-5156-1" TargetMode="External"/><Relationship Id="rId19" Type="http://schemas.openxmlformats.org/officeDocument/2006/relationships/hyperlink" Target="https://doi.org/10.1093/bioinformatics/btab249" TargetMode="External"/><Relationship Id="rId4" Type="http://schemas.openxmlformats.org/officeDocument/2006/relationships/hyperlink" Target="https://www.ncbi.nlm.nih.gov/pmc/articles/PMC7919457/" TargetMode="External"/><Relationship Id="rId9" Type="http://schemas.openxmlformats.org/officeDocument/2006/relationships/hyperlink" Target="https://doi.org/10.1186/s12864-018-5156-1" TargetMode="External"/><Relationship Id="rId14" Type="http://schemas.openxmlformats.org/officeDocument/2006/relationships/hyperlink" Target="https://doi.org/10.1080/15476286.2021.1940047" TargetMode="External"/><Relationship Id="rId22" Type="http://schemas.openxmlformats.org/officeDocument/2006/relationships/hyperlink" Target="https://doi.org/10.1093/bioinformatics/btab249" TargetMode="External"/><Relationship Id="rId27" Type="http://schemas.openxmlformats.org/officeDocument/2006/relationships/hyperlink" Target="https://doi.org/10.1186/s13073-015-0167-x"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186/s12864-018-5156-1" TargetMode="External"/><Relationship Id="rId13" Type="http://schemas.openxmlformats.org/officeDocument/2006/relationships/hyperlink" Target="https://doi.org/10.1093/bioinformatics/btab249" TargetMode="External"/><Relationship Id="rId3" Type="http://schemas.openxmlformats.org/officeDocument/2006/relationships/hyperlink" Target="https://www.ncbi.nlm.nih.gov/pmc/articles/PMC7919457/" TargetMode="External"/><Relationship Id="rId7" Type="http://schemas.openxmlformats.org/officeDocument/2006/relationships/hyperlink" Target="https://doi.org/10.1186/s12864-018-5156-1" TargetMode="External"/><Relationship Id="rId12" Type="http://schemas.openxmlformats.org/officeDocument/2006/relationships/hyperlink" Target="https://doi.org/10.1093/bioinformatics/btab249" TargetMode="External"/><Relationship Id="rId17" Type="http://schemas.openxmlformats.org/officeDocument/2006/relationships/hyperlink" Target="https://doi.org/10.1186/s13073-015-0167-x" TargetMode="External"/><Relationship Id="rId2" Type="http://schemas.openxmlformats.org/officeDocument/2006/relationships/hyperlink" Target="https://www.ncbi.nlm.nih.gov/pmc/articles/PMC7919457/" TargetMode="External"/><Relationship Id="rId16" Type="http://schemas.openxmlformats.org/officeDocument/2006/relationships/hyperlink" Target="https://doi.org/10.1186/s13073-015-0167-x" TargetMode="External"/><Relationship Id="rId1" Type="http://schemas.openxmlformats.org/officeDocument/2006/relationships/hyperlink" Target="https://www.ncbi.nlm.nih.gov/pmc/articles/PMC7919457/" TargetMode="External"/><Relationship Id="rId6" Type="http://schemas.openxmlformats.org/officeDocument/2006/relationships/hyperlink" Target="https://doi.org/10.3389/fgene.2021.739054" TargetMode="External"/><Relationship Id="rId11" Type="http://schemas.openxmlformats.org/officeDocument/2006/relationships/hyperlink" Target="https://doi.org/10.1080/15476286.2021.1940047" TargetMode="External"/><Relationship Id="rId5" Type="http://schemas.openxmlformats.org/officeDocument/2006/relationships/hyperlink" Target="https://doi.org/10.3389/fgene.2021.739054" TargetMode="External"/><Relationship Id="rId15" Type="http://schemas.openxmlformats.org/officeDocument/2006/relationships/hyperlink" Target="https://doi.org/10.1101%2Fgr.186114.114" TargetMode="External"/><Relationship Id="rId10" Type="http://schemas.openxmlformats.org/officeDocument/2006/relationships/hyperlink" Target="https://doi.org/10.1080/15476286.2021.1940047" TargetMode="External"/><Relationship Id="rId4" Type="http://schemas.openxmlformats.org/officeDocument/2006/relationships/hyperlink" Target="https://doi.org/10.3389/fgene.2021.739054" TargetMode="External"/><Relationship Id="rId9" Type="http://schemas.openxmlformats.org/officeDocument/2006/relationships/hyperlink" Target="https://doi.org/10.1186/s12864-018-5156-1" TargetMode="External"/><Relationship Id="rId14" Type="http://schemas.openxmlformats.org/officeDocument/2006/relationships/hyperlink" Target="https://doi.org/10.1101%2Fgr.186114.114"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1186/gb-2011-12-1-r6" TargetMode="External"/><Relationship Id="rId2" Type="http://schemas.openxmlformats.org/officeDocument/2006/relationships/hyperlink" Target="https://doi.org/10.1093/bioinformatics/btr310" TargetMode="External"/><Relationship Id="rId1" Type="http://schemas.openxmlformats.org/officeDocument/2006/relationships/hyperlink" Target="https://github.com/fusiontranscripts/FusionBenchmarking" TargetMode="External"/><Relationship Id="rId6" Type="http://schemas.openxmlformats.org/officeDocument/2006/relationships/hyperlink" Target="https://figshare.com/articles/dataset/FASTQ_DREAM_SMC-RNA_Challenge_smc_rna_sim45/12954488" TargetMode="External"/><Relationship Id="rId5" Type="http://schemas.openxmlformats.org/officeDocument/2006/relationships/hyperlink" Target="https://data.broadinstitute.org/Trinity/CTAT_FUSIONTRANS_BENCHMARKING/on_simulated_data/sim_101/reads/" TargetMode="External"/><Relationship Id="rId4" Type="http://schemas.openxmlformats.org/officeDocument/2006/relationships/hyperlink" Target="https://data.broadinstitute.org/Trinity/CTAT_FUSIONTRANS_BENCHMARKING/on_simulated_data/sim_50/read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STAR-Fusion/STAR-Fusion_benchmarking_data" TargetMode="External"/><Relationship Id="rId2" Type="http://schemas.openxmlformats.org/officeDocument/2006/relationships/hyperlink" Target="https://github.com/fusiontranscripts/FusionBenchmarking" TargetMode="External"/><Relationship Id="rId1" Type="http://schemas.openxmlformats.org/officeDocument/2006/relationships/hyperlink" Target="https://github.com/fusiontranscripts/FusionBenchmarking%20." TargetMode="External"/><Relationship Id="rId5" Type="http://schemas.openxmlformats.org/officeDocument/2006/relationships/hyperlink" Target="https://www.frontiersin.org/articles/10.3389/fmolb.2023.1141310/full" TargetMode="External"/><Relationship Id="rId4" Type="http://schemas.openxmlformats.org/officeDocument/2006/relationships/hyperlink" Target="https://pubmed.ncbi.nlm.nih.gov/3394489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FusionSimulatorToolkit/FusionSimulatorToolkit/wiki"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ata.broadinstitute.org/Trinity/CTAT_FUSIONTRANS_BENCHMARKING/on_cancer_cell_lines/reads/" TargetMode="External"/><Relationship Id="rId2" Type="http://schemas.openxmlformats.org/officeDocument/2006/relationships/hyperlink" Target="https://data.broadinstitute.org/Trinity/CTAT_FUSIONTRANS_BENCHMARKING/on_simulated_data/sim_101/reads/" TargetMode="External"/><Relationship Id="rId1" Type="http://schemas.openxmlformats.org/officeDocument/2006/relationships/hyperlink" Target="https://data.broadinstitute.org/Trinity/CTAT_FUSIONTRANS_BENCHMARKING/on_simulated_data/sim_50/reads/" TargetMode="External"/><Relationship Id="rId4" Type="http://schemas.openxmlformats.org/officeDocument/2006/relationships/hyperlink" Target="https://www.ncbi.nlm.nih.gov/sra/?term=SRR1657556"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workbookViewId="0"/>
  </sheetViews>
  <sheetFormatPr baseColWidth="10" defaultColWidth="11.1640625" defaultRowHeight="15" customHeight="1"/>
  <cols>
    <col min="1" max="1" width="17.83203125" customWidth="1"/>
    <col min="2" max="2" width="14.83203125" customWidth="1"/>
    <col min="3" max="3" width="15.5" customWidth="1"/>
    <col min="4" max="4" width="22.33203125" customWidth="1"/>
    <col min="5" max="5" width="13.33203125" customWidth="1"/>
    <col min="6" max="26" width="8.5" customWidth="1"/>
  </cols>
  <sheetData>
    <row r="1" spans="1:6" ht="15.75" customHeight="1">
      <c r="A1" s="1" t="s">
        <v>0</v>
      </c>
      <c r="B1" s="236">
        <v>2019</v>
      </c>
      <c r="C1" s="237"/>
      <c r="D1" s="238"/>
      <c r="E1" s="239" t="s">
        <v>1</v>
      </c>
      <c r="F1" s="240"/>
    </row>
    <row r="2" spans="1:6" ht="15.75" customHeight="1">
      <c r="A2" s="243" t="s">
        <v>2</v>
      </c>
      <c r="B2" s="244"/>
      <c r="C2" s="244"/>
      <c r="D2" s="245"/>
      <c r="E2" s="241"/>
      <c r="F2" s="242"/>
    </row>
    <row r="3" spans="1:6" ht="15.75" customHeight="1">
      <c r="A3" s="246" t="s">
        <v>3</v>
      </c>
      <c r="B3" s="248" t="s">
        <v>4</v>
      </c>
      <c r="C3" s="249"/>
      <c r="D3" s="250" t="s">
        <v>5</v>
      </c>
      <c r="E3" s="252" t="s">
        <v>6</v>
      </c>
      <c r="F3" s="240"/>
    </row>
    <row r="4" spans="1:6" ht="15.75" customHeight="1">
      <c r="A4" s="247"/>
      <c r="B4" s="2" t="s">
        <v>7</v>
      </c>
      <c r="C4" s="2" t="s">
        <v>8</v>
      </c>
      <c r="D4" s="251"/>
      <c r="E4" s="253"/>
      <c r="F4" s="254"/>
    </row>
    <row r="5" spans="1:6" ht="15.75" customHeight="1">
      <c r="A5" s="255" t="s">
        <v>9</v>
      </c>
      <c r="B5" s="237"/>
      <c r="C5" s="237"/>
      <c r="D5" s="238"/>
      <c r="E5" s="241"/>
      <c r="F5" s="242"/>
    </row>
    <row r="6" spans="1:6" ht="15.75" customHeight="1">
      <c r="A6" s="3" t="s">
        <v>10</v>
      </c>
      <c r="B6" s="4" t="s">
        <v>11</v>
      </c>
      <c r="C6" s="4" t="s">
        <v>12</v>
      </c>
      <c r="D6" s="5"/>
      <c r="E6" s="6"/>
      <c r="F6" s="6"/>
    </row>
    <row r="7" spans="1:6" ht="15.75" customHeight="1">
      <c r="A7" s="3" t="s">
        <v>13</v>
      </c>
      <c r="C7" s="4"/>
      <c r="D7" s="5"/>
      <c r="E7" s="6"/>
      <c r="F7" s="6"/>
    </row>
    <row r="8" spans="1:6" ht="15.75" customHeight="1">
      <c r="A8" s="3" t="s">
        <v>14</v>
      </c>
      <c r="B8" s="4" t="s">
        <v>11</v>
      </c>
      <c r="C8" s="4" t="s">
        <v>15</v>
      </c>
      <c r="D8" s="5"/>
      <c r="E8" s="6"/>
      <c r="F8" s="6"/>
    </row>
    <row r="9" spans="1:6" ht="15.75" customHeight="1">
      <c r="A9" s="3" t="s">
        <v>16</v>
      </c>
      <c r="C9" s="4"/>
      <c r="D9" s="5"/>
      <c r="E9" s="6"/>
      <c r="F9" s="6"/>
    </row>
    <row r="10" spans="1:6" ht="15.75" customHeight="1">
      <c r="A10" s="3" t="s">
        <v>17</v>
      </c>
      <c r="C10" s="4"/>
      <c r="D10" s="5" t="s">
        <v>18</v>
      </c>
      <c r="E10" s="6"/>
      <c r="F10" s="6"/>
    </row>
    <row r="11" spans="1:6" ht="15.75" customHeight="1">
      <c r="A11" s="3" t="s">
        <v>19</v>
      </c>
      <c r="B11" s="4" t="s">
        <v>11</v>
      </c>
      <c r="C11" s="4" t="s">
        <v>20</v>
      </c>
      <c r="D11" s="5"/>
      <c r="E11" s="6"/>
      <c r="F11" s="6"/>
    </row>
    <row r="12" spans="1:6" ht="15.75" customHeight="1">
      <c r="A12" s="3" t="s">
        <v>21</v>
      </c>
      <c r="C12" s="4"/>
      <c r="D12" s="5"/>
      <c r="E12" s="6"/>
      <c r="F12" s="6"/>
    </row>
    <row r="13" spans="1:6" ht="15.75" customHeight="1">
      <c r="A13" s="3" t="s">
        <v>22</v>
      </c>
      <c r="C13" s="4"/>
      <c r="D13" s="5"/>
      <c r="E13" s="6"/>
      <c r="F13" s="6"/>
    </row>
    <row r="14" spans="1:6" ht="15.75" customHeight="1">
      <c r="A14" s="3" t="s">
        <v>23</v>
      </c>
      <c r="C14" s="4"/>
      <c r="D14" s="5"/>
      <c r="E14" s="6"/>
      <c r="F14" s="6"/>
    </row>
    <row r="15" spans="1:6" ht="15.75" customHeight="1">
      <c r="A15" s="3" t="s">
        <v>24</v>
      </c>
      <c r="C15" s="4"/>
      <c r="D15" s="5"/>
      <c r="E15" s="6"/>
      <c r="F15" s="6"/>
    </row>
    <row r="16" spans="1:6" ht="15.75" customHeight="1">
      <c r="A16" s="3" t="s">
        <v>25</v>
      </c>
      <c r="C16" s="4"/>
      <c r="D16" s="5"/>
      <c r="E16" s="6"/>
      <c r="F16" s="6"/>
    </row>
    <row r="17" spans="1:6" ht="15.75" customHeight="1">
      <c r="A17" s="3" t="s">
        <v>26</v>
      </c>
      <c r="C17" s="4"/>
      <c r="D17" s="5"/>
      <c r="E17" s="6"/>
      <c r="F17" s="6"/>
    </row>
    <row r="18" spans="1:6" ht="15.75" customHeight="1">
      <c r="A18" s="3" t="s">
        <v>27</v>
      </c>
      <c r="B18" s="4" t="s">
        <v>11</v>
      </c>
      <c r="C18" s="4"/>
      <c r="D18" s="5"/>
      <c r="E18" s="6"/>
      <c r="F18" s="6"/>
    </row>
    <row r="19" spans="1:6" ht="15.75" customHeight="1">
      <c r="A19" s="3" t="s">
        <v>28</v>
      </c>
      <c r="C19" s="4"/>
      <c r="D19" s="5"/>
      <c r="E19" s="6"/>
      <c r="F19" s="6"/>
    </row>
    <row r="20" spans="1:6" ht="15.75" customHeight="1">
      <c r="A20" s="3" t="s">
        <v>29</v>
      </c>
      <c r="C20" s="4"/>
      <c r="D20" s="5" t="s">
        <v>18</v>
      </c>
      <c r="E20" s="6"/>
      <c r="F20" s="6"/>
    </row>
    <row r="21" spans="1:6" ht="15.75" customHeight="1">
      <c r="A21" s="3" t="s">
        <v>30</v>
      </c>
      <c r="C21" s="4"/>
      <c r="D21" s="5"/>
      <c r="E21" s="6"/>
      <c r="F21" s="6"/>
    </row>
    <row r="22" spans="1:6" ht="15.75" customHeight="1">
      <c r="A22" s="3" t="s">
        <v>31</v>
      </c>
      <c r="C22" s="4"/>
      <c r="D22" s="5"/>
      <c r="E22" s="6"/>
      <c r="F22" s="6"/>
    </row>
    <row r="23" spans="1:6" ht="15.75" customHeight="1">
      <c r="A23" s="3" t="s">
        <v>32</v>
      </c>
      <c r="C23" s="4"/>
      <c r="D23" s="5" t="s">
        <v>33</v>
      </c>
      <c r="E23" s="7"/>
      <c r="F23" s="7"/>
    </row>
    <row r="24" spans="1:6" ht="15.75" customHeight="1">
      <c r="A24" s="256" t="s">
        <v>34</v>
      </c>
      <c r="B24" s="237"/>
      <c r="C24" s="237"/>
      <c r="D24" s="237"/>
      <c r="E24" s="237"/>
      <c r="F24" s="238"/>
    </row>
    <row r="25" spans="1:6" ht="15.75" customHeight="1">
      <c r="A25" s="3" t="s">
        <v>35</v>
      </c>
      <c r="B25" s="4" t="s">
        <v>36</v>
      </c>
    </row>
    <row r="26" spans="1:6" ht="15.75" customHeight="1">
      <c r="A26" s="3" t="s">
        <v>37</v>
      </c>
      <c r="B26" s="4" t="s">
        <v>36</v>
      </c>
      <c r="D26" s="4" t="s">
        <v>38</v>
      </c>
    </row>
    <row r="27" spans="1:6" ht="15.75" customHeight="1">
      <c r="A27" s="3" t="s">
        <v>39</v>
      </c>
      <c r="B27" s="4" t="s">
        <v>36</v>
      </c>
    </row>
    <row r="28" spans="1:6" ht="15.75" customHeight="1">
      <c r="A28" s="3" t="s">
        <v>40</v>
      </c>
      <c r="B28" s="4" t="s">
        <v>36</v>
      </c>
    </row>
    <row r="29" spans="1:6" ht="15.75" customHeight="1">
      <c r="A29" s="256" t="s">
        <v>41</v>
      </c>
      <c r="B29" s="237"/>
      <c r="C29" s="237"/>
      <c r="D29" s="237"/>
      <c r="E29" s="237"/>
      <c r="F29" s="238"/>
    </row>
    <row r="30" spans="1:6" ht="15.75" customHeight="1">
      <c r="A30" s="3" t="s">
        <v>42</v>
      </c>
      <c r="D30" s="4" t="s">
        <v>33</v>
      </c>
    </row>
    <row r="31" spans="1:6" ht="15.75" customHeight="1">
      <c r="A31" s="257" t="s">
        <v>43</v>
      </c>
      <c r="B31" s="258" t="s">
        <v>44</v>
      </c>
      <c r="C31" s="259"/>
      <c r="D31" s="259"/>
      <c r="E31" s="259"/>
      <c r="F31" s="240"/>
    </row>
    <row r="32" spans="1:6" ht="15.75" customHeight="1">
      <c r="A32" s="251"/>
      <c r="B32" s="241"/>
      <c r="C32" s="260"/>
      <c r="D32" s="260"/>
      <c r="E32" s="260"/>
      <c r="F32" s="242"/>
    </row>
    <row r="33" spans="1:8" ht="15.75" customHeight="1">
      <c r="A33" s="3"/>
    </row>
    <row r="34" spans="1:8" ht="15.75" customHeight="1"/>
    <row r="35" spans="1:8" ht="15.75" customHeight="1">
      <c r="A35" s="8" t="s">
        <v>45</v>
      </c>
      <c r="B35" s="261">
        <v>2021</v>
      </c>
      <c r="C35" s="237"/>
      <c r="D35" s="238"/>
      <c r="E35" s="239" t="s">
        <v>1</v>
      </c>
      <c r="F35" s="240"/>
    </row>
    <row r="36" spans="1:8" ht="15.75" customHeight="1">
      <c r="A36" s="9" t="s">
        <v>3</v>
      </c>
      <c r="B36" s="10" t="s">
        <v>46</v>
      </c>
      <c r="C36" s="11"/>
      <c r="D36" s="12" t="s">
        <v>47</v>
      </c>
      <c r="E36" s="241"/>
      <c r="F36" s="242"/>
    </row>
    <row r="37" spans="1:8" ht="15.75" customHeight="1">
      <c r="A37" s="13" t="s">
        <v>48</v>
      </c>
      <c r="B37" s="262" t="s">
        <v>49</v>
      </c>
      <c r="C37" s="259"/>
      <c r="D37" s="240"/>
      <c r="E37" s="239" t="s">
        <v>50</v>
      </c>
      <c r="F37" s="240"/>
    </row>
    <row r="38" spans="1:8" ht="15.75" customHeight="1">
      <c r="A38" s="13" t="s">
        <v>51</v>
      </c>
      <c r="B38" s="264" t="s">
        <v>52</v>
      </c>
      <c r="C38" s="265"/>
      <c r="D38" s="254"/>
      <c r="E38" s="253"/>
      <c r="F38" s="254"/>
    </row>
    <row r="39" spans="1:8" ht="15.75" customHeight="1">
      <c r="A39" s="13" t="s">
        <v>53</v>
      </c>
      <c r="B39" s="264" t="s">
        <v>54</v>
      </c>
      <c r="C39" s="265"/>
      <c r="D39" s="254"/>
      <c r="E39" s="253"/>
      <c r="F39" s="254"/>
    </row>
    <row r="40" spans="1:8" ht="15.75" customHeight="1">
      <c r="A40" s="13" t="s">
        <v>55</v>
      </c>
      <c r="B40" s="264" t="s">
        <v>56</v>
      </c>
      <c r="C40" s="265"/>
      <c r="D40" s="254"/>
      <c r="E40" s="253"/>
      <c r="F40" s="254"/>
    </row>
    <row r="41" spans="1:8" ht="15.75" customHeight="1">
      <c r="A41" s="13" t="s">
        <v>57</v>
      </c>
      <c r="B41" s="264" t="s">
        <v>56</v>
      </c>
      <c r="C41" s="265"/>
      <c r="D41" s="254"/>
      <c r="E41" s="253"/>
      <c r="F41" s="254"/>
    </row>
    <row r="42" spans="1:8" ht="15.75" customHeight="1">
      <c r="A42" s="13" t="s">
        <v>58</v>
      </c>
      <c r="B42" s="264" t="s">
        <v>59</v>
      </c>
      <c r="C42" s="265"/>
      <c r="D42" s="254"/>
      <c r="E42" s="253"/>
      <c r="F42" s="254"/>
    </row>
    <row r="43" spans="1:8" ht="15.75" customHeight="1">
      <c r="A43" s="13" t="s">
        <v>60</v>
      </c>
      <c r="B43" s="264" t="s">
        <v>52</v>
      </c>
      <c r="C43" s="265"/>
      <c r="D43" s="254"/>
      <c r="E43" s="241"/>
      <c r="F43" s="242"/>
    </row>
    <row r="44" spans="1:8" ht="15.75" customHeight="1">
      <c r="A44" s="257" t="s">
        <v>43</v>
      </c>
      <c r="B44" s="258" t="s">
        <v>61</v>
      </c>
      <c r="C44" s="259"/>
      <c r="D44" s="259"/>
      <c r="E44" s="259"/>
      <c r="F44" s="240"/>
    </row>
    <row r="45" spans="1:8" ht="15.75" customHeight="1">
      <c r="A45" s="251"/>
      <c r="B45" s="241"/>
      <c r="C45" s="260"/>
      <c r="D45" s="260"/>
      <c r="E45" s="260"/>
      <c r="F45" s="242"/>
    </row>
    <row r="46" spans="1:8" ht="15.75" customHeight="1"/>
    <row r="47" spans="1:8" ht="15.75" customHeight="1"/>
    <row r="48" spans="1:8" ht="15.75" customHeight="1">
      <c r="A48" s="8" t="s">
        <v>62</v>
      </c>
      <c r="B48" s="236">
        <v>2016</v>
      </c>
      <c r="C48" s="237"/>
      <c r="D48" s="238"/>
      <c r="E48" s="239" t="s">
        <v>1</v>
      </c>
      <c r="F48" s="240"/>
      <c r="H48" s="13" t="s">
        <v>63</v>
      </c>
    </row>
    <row r="49" spans="1:8" ht="15.75" customHeight="1">
      <c r="A49" s="236" t="s">
        <v>64</v>
      </c>
      <c r="B49" s="237"/>
      <c r="C49" s="237"/>
      <c r="D49" s="238"/>
      <c r="E49" s="241"/>
      <c r="F49" s="242"/>
      <c r="H49" s="13" t="s">
        <v>65</v>
      </c>
    </row>
    <row r="50" spans="1:8" ht="15.75" customHeight="1">
      <c r="A50" s="8"/>
      <c r="B50" s="263" t="s">
        <v>66</v>
      </c>
      <c r="C50" s="238"/>
      <c r="D50" s="250" t="s">
        <v>5</v>
      </c>
      <c r="E50" s="239" t="s">
        <v>67</v>
      </c>
      <c r="F50" s="240"/>
      <c r="H50" s="13" t="s">
        <v>68</v>
      </c>
    </row>
    <row r="51" spans="1:8" ht="15.75" customHeight="1">
      <c r="A51" s="9" t="s">
        <v>3</v>
      </c>
      <c r="B51" s="15" t="s">
        <v>69</v>
      </c>
      <c r="C51" s="15" t="s">
        <v>70</v>
      </c>
      <c r="D51" s="251"/>
      <c r="E51" s="253"/>
      <c r="F51" s="254"/>
      <c r="H51" s="13" t="s">
        <v>71</v>
      </c>
    </row>
    <row r="52" spans="1:8" ht="15.75" customHeight="1">
      <c r="A52" s="13" t="s">
        <v>72</v>
      </c>
      <c r="B52" s="13" t="s">
        <v>73</v>
      </c>
      <c r="C52" s="5">
        <v>0</v>
      </c>
      <c r="D52" s="3" t="s">
        <v>74</v>
      </c>
      <c r="E52" s="253"/>
      <c r="F52" s="254"/>
      <c r="H52" s="13" t="s">
        <v>75</v>
      </c>
    </row>
    <row r="53" spans="1:8" ht="15.75" customHeight="1">
      <c r="A53" s="13" t="s">
        <v>76</v>
      </c>
      <c r="B53" s="13" t="s">
        <v>77</v>
      </c>
      <c r="C53" s="5" t="s">
        <v>78</v>
      </c>
      <c r="D53" s="3"/>
      <c r="E53" s="253"/>
      <c r="F53" s="254"/>
    </row>
    <row r="54" spans="1:8" ht="15.75" customHeight="1">
      <c r="A54" s="13" t="s">
        <v>79</v>
      </c>
      <c r="B54" s="13" t="s">
        <v>77</v>
      </c>
      <c r="C54" s="5" t="s">
        <v>80</v>
      </c>
      <c r="D54" s="3" t="s">
        <v>81</v>
      </c>
      <c r="E54" s="253"/>
      <c r="F54" s="254"/>
    </row>
    <row r="55" spans="1:8" ht="15.75" customHeight="1">
      <c r="A55" s="13" t="s">
        <v>82</v>
      </c>
      <c r="B55" s="13" t="s">
        <v>73</v>
      </c>
      <c r="C55" s="5">
        <v>0</v>
      </c>
      <c r="D55" s="13" t="s">
        <v>73</v>
      </c>
      <c r="E55" s="253"/>
      <c r="F55" s="254"/>
    </row>
    <row r="56" spans="1:8" ht="15.75" customHeight="1">
      <c r="A56" s="3" t="s">
        <v>16</v>
      </c>
      <c r="B56" s="16" t="s">
        <v>83</v>
      </c>
      <c r="C56" s="5" t="s">
        <v>84</v>
      </c>
      <c r="D56" s="3" t="s">
        <v>85</v>
      </c>
      <c r="E56" s="253"/>
      <c r="F56" s="254"/>
    </row>
    <row r="57" spans="1:8" ht="15.75" customHeight="1">
      <c r="A57" s="3" t="s">
        <v>13</v>
      </c>
      <c r="B57" s="16" t="s">
        <v>83</v>
      </c>
      <c r="C57" s="5" t="s">
        <v>86</v>
      </c>
      <c r="D57" s="6" t="s">
        <v>87</v>
      </c>
      <c r="E57" s="253"/>
      <c r="F57" s="254"/>
    </row>
    <row r="58" spans="1:8" ht="15.75" customHeight="1">
      <c r="A58" s="3" t="s">
        <v>88</v>
      </c>
      <c r="B58" s="13" t="s">
        <v>89</v>
      </c>
      <c r="C58" s="5" t="s">
        <v>90</v>
      </c>
      <c r="D58" s="3" t="s">
        <v>85</v>
      </c>
      <c r="E58" s="253"/>
      <c r="F58" s="254"/>
    </row>
    <row r="59" spans="1:8" ht="15.75" customHeight="1">
      <c r="A59" s="3" t="s">
        <v>91</v>
      </c>
      <c r="B59" s="13" t="s">
        <v>73</v>
      </c>
      <c r="C59" s="5">
        <v>0</v>
      </c>
      <c r="D59" s="6" t="s">
        <v>87</v>
      </c>
      <c r="E59" s="253"/>
      <c r="F59" s="254"/>
    </row>
    <row r="60" spans="1:8" ht="15.75" customHeight="1">
      <c r="A60" s="3" t="s">
        <v>92</v>
      </c>
      <c r="B60" s="13" t="s">
        <v>93</v>
      </c>
      <c r="C60" s="5" t="s">
        <v>94</v>
      </c>
      <c r="D60" s="3" t="s">
        <v>95</v>
      </c>
      <c r="E60" s="253"/>
      <c r="F60" s="254"/>
    </row>
    <row r="61" spans="1:8" ht="15.75" customHeight="1">
      <c r="A61" s="3" t="s">
        <v>25</v>
      </c>
      <c r="B61" s="13" t="s">
        <v>96</v>
      </c>
      <c r="C61" s="5">
        <v>0</v>
      </c>
      <c r="D61" s="3" t="s">
        <v>97</v>
      </c>
      <c r="E61" s="253"/>
      <c r="F61" s="254"/>
    </row>
    <row r="62" spans="1:8" ht="15.75" customHeight="1">
      <c r="A62" s="3" t="s">
        <v>98</v>
      </c>
      <c r="B62" s="13" t="s">
        <v>77</v>
      </c>
      <c r="C62" s="5">
        <v>0</v>
      </c>
      <c r="D62" s="3"/>
      <c r="E62" s="253"/>
      <c r="F62" s="254"/>
    </row>
    <row r="63" spans="1:8" ht="15.75" customHeight="1">
      <c r="A63" s="3" t="s">
        <v>99</v>
      </c>
      <c r="B63" s="16" t="s">
        <v>83</v>
      </c>
      <c r="C63" s="5">
        <v>0</v>
      </c>
      <c r="D63" s="6" t="s">
        <v>95</v>
      </c>
      <c r="E63" s="241"/>
      <c r="F63" s="242"/>
    </row>
    <row r="64" spans="1:8" ht="15.75" customHeight="1">
      <c r="A64" s="257" t="s">
        <v>43</v>
      </c>
      <c r="B64" s="258" t="s">
        <v>100</v>
      </c>
      <c r="C64" s="259"/>
      <c r="D64" s="259"/>
      <c r="E64" s="259"/>
      <c r="F64" s="240"/>
    </row>
    <row r="65" spans="1:6" ht="15.75" customHeight="1">
      <c r="A65" s="266"/>
      <c r="B65" s="253"/>
      <c r="C65" s="265"/>
      <c r="D65" s="265"/>
      <c r="E65" s="265"/>
      <c r="F65" s="254"/>
    </row>
    <row r="66" spans="1:6" ht="15.75" customHeight="1">
      <c r="A66" s="251"/>
      <c r="B66" s="241"/>
      <c r="C66" s="260"/>
      <c r="D66" s="260"/>
      <c r="E66" s="260"/>
      <c r="F66" s="242"/>
    </row>
    <row r="67" spans="1:6" ht="15.75" customHeight="1"/>
    <row r="68" spans="1:6" ht="15.75" customHeight="1">
      <c r="A68" s="8" t="s">
        <v>101</v>
      </c>
      <c r="B68" s="261">
        <v>2021</v>
      </c>
      <c r="C68" s="237"/>
      <c r="D68" s="249"/>
      <c r="E68" s="239" t="s">
        <v>1</v>
      </c>
      <c r="F68" s="240"/>
    </row>
    <row r="69" spans="1:6" ht="15.75" customHeight="1">
      <c r="A69" s="250" t="s">
        <v>3</v>
      </c>
      <c r="B69" s="267" t="s">
        <v>102</v>
      </c>
      <c r="C69" s="237"/>
      <c r="D69" s="249"/>
      <c r="E69" s="253"/>
      <c r="F69" s="254"/>
    </row>
    <row r="70" spans="1:6" ht="15.75" customHeight="1">
      <c r="A70" s="251"/>
      <c r="B70" s="248" t="s">
        <v>103</v>
      </c>
      <c r="C70" s="238"/>
      <c r="D70" s="17" t="s">
        <v>104</v>
      </c>
      <c r="E70" s="241"/>
      <c r="F70" s="242"/>
    </row>
    <row r="71" spans="1:6" ht="15.75" customHeight="1">
      <c r="A71" s="13" t="s">
        <v>105</v>
      </c>
      <c r="B71" s="268">
        <v>0.82</v>
      </c>
      <c r="C71" s="259"/>
      <c r="D71" s="18">
        <v>0.89</v>
      </c>
      <c r="E71" s="239" t="s">
        <v>106</v>
      </c>
      <c r="F71" s="240"/>
    </row>
    <row r="72" spans="1:6" ht="15.75" customHeight="1">
      <c r="A72" s="13" t="s">
        <v>10</v>
      </c>
      <c r="B72" s="269">
        <v>0.39</v>
      </c>
      <c r="C72" s="265"/>
      <c r="D72" s="18">
        <v>0.69</v>
      </c>
      <c r="E72" s="253"/>
      <c r="F72" s="254"/>
    </row>
    <row r="73" spans="1:6" ht="15.75" customHeight="1">
      <c r="A73" s="13" t="s">
        <v>107</v>
      </c>
      <c r="B73" s="269">
        <v>0.6</v>
      </c>
      <c r="C73" s="265"/>
      <c r="D73" s="18">
        <v>0.65</v>
      </c>
      <c r="E73" s="253"/>
      <c r="F73" s="254"/>
    </row>
    <row r="74" spans="1:6" ht="15.75" customHeight="1">
      <c r="A74" s="13" t="s">
        <v>108</v>
      </c>
      <c r="B74" s="270">
        <v>0.2</v>
      </c>
      <c r="C74" s="260"/>
      <c r="D74" s="18">
        <v>0.01</v>
      </c>
      <c r="E74" s="241"/>
      <c r="F74" s="242"/>
    </row>
    <row r="75" spans="1:6" ht="15.75" customHeight="1">
      <c r="A75" s="257" t="s">
        <v>43</v>
      </c>
      <c r="B75" s="258" t="s">
        <v>109</v>
      </c>
      <c r="C75" s="259"/>
      <c r="D75" s="259"/>
      <c r="E75" s="259"/>
      <c r="F75" s="240"/>
    </row>
    <row r="76" spans="1:6" ht="15.75" customHeight="1">
      <c r="A76" s="251"/>
      <c r="B76" s="241"/>
      <c r="C76" s="260"/>
      <c r="D76" s="260"/>
      <c r="E76" s="260"/>
      <c r="F76" s="242"/>
    </row>
    <row r="77" spans="1:6" ht="15.75" customHeight="1">
      <c r="A77" s="19"/>
      <c r="B77" s="19"/>
      <c r="C77" s="19"/>
      <c r="D77" s="19"/>
      <c r="E77" s="19"/>
      <c r="F77" s="19"/>
    </row>
    <row r="78" spans="1:6" ht="15.75" customHeight="1">
      <c r="A78" s="19"/>
      <c r="B78" s="19"/>
      <c r="C78" s="19"/>
      <c r="D78" s="19"/>
      <c r="E78" s="19"/>
      <c r="F78" s="19"/>
    </row>
    <row r="79" spans="1:6" ht="15.75" customHeight="1">
      <c r="A79" s="20" t="s">
        <v>110</v>
      </c>
      <c r="B79" s="261">
        <v>2017</v>
      </c>
      <c r="C79" s="237"/>
      <c r="D79" s="238"/>
      <c r="E79" s="239" t="s">
        <v>1</v>
      </c>
      <c r="F79" s="240"/>
    </row>
    <row r="80" spans="1:6" ht="15.75" customHeight="1">
      <c r="A80" s="250" t="s">
        <v>3</v>
      </c>
      <c r="B80" s="263" t="s">
        <v>111</v>
      </c>
      <c r="C80" s="237"/>
      <c r="D80" s="238"/>
      <c r="E80" s="241"/>
      <c r="F80" s="242"/>
    </row>
    <row r="81" spans="1:9" ht="15.75" customHeight="1">
      <c r="A81" s="266"/>
      <c r="B81" s="263" t="s">
        <v>4</v>
      </c>
      <c r="C81" s="237"/>
      <c r="D81" s="238"/>
      <c r="E81" s="239" t="s">
        <v>112</v>
      </c>
      <c r="F81" s="240"/>
    </row>
    <row r="82" spans="1:9" ht="15.75" customHeight="1">
      <c r="A82" s="266"/>
      <c r="B82" s="278" t="s">
        <v>113</v>
      </c>
      <c r="C82" s="250" t="s">
        <v>114</v>
      </c>
      <c r="D82" s="250" t="s">
        <v>115</v>
      </c>
      <c r="E82" s="253"/>
      <c r="F82" s="254"/>
    </row>
    <row r="83" spans="1:9" ht="15.75" customHeight="1">
      <c r="A83" s="251"/>
      <c r="B83" s="251"/>
      <c r="C83" s="251"/>
      <c r="D83" s="251"/>
      <c r="E83" s="253"/>
      <c r="F83" s="254"/>
    </row>
    <row r="84" spans="1:9" ht="15.75" customHeight="1">
      <c r="A84" s="13" t="s">
        <v>116</v>
      </c>
      <c r="B84" s="4" t="s">
        <v>117</v>
      </c>
      <c r="C84" s="13" t="s">
        <v>118</v>
      </c>
      <c r="D84" s="13" t="s">
        <v>119</v>
      </c>
      <c r="E84" s="253"/>
      <c r="F84" s="254"/>
    </row>
    <row r="85" spans="1:9" ht="15.75" customHeight="1">
      <c r="A85" s="13" t="s">
        <v>120</v>
      </c>
      <c r="B85" s="4" t="s">
        <v>121</v>
      </c>
      <c r="C85" s="13" t="s">
        <v>122</v>
      </c>
      <c r="D85" s="13" t="s">
        <v>123</v>
      </c>
      <c r="E85" s="253"/>
      <c r="F85" s="254"/>
    </row>
    <row r="86" spans="1:9" ht="15.75" customHeight="1">
      <c r="A86" s="13" t="s">
        <v>124</v>
      </c>
      <c r="B86" s="4" t="s">
        <v>125</v>
      </c>
      <c r="C86" s="13" t="s">
        <v>126</v>
      </c>
      <c r="D86" s="13" t="s">
        <v>127</v>
      </c>
      <c r="E86" s="253"/>
      <c r="F86" s="254"/>
    </row>
    <row r="87" spans="1:9" ht="15.75" customHeight="1">
      <c r="A87" s="13" t="s">
        <v>128</v>
      </c>
      <c r="B87" s="4" t="s">
        <v>129</v>
      </c>
      <c r="C87" s="13" t="s">
        <v>130</v>
      </c>
      <c r="D87" s="13" t="s">
        <v>131</v>
      </c>
      <c r="E87" s="253"/>
      <c r="F87" s="254"/>
    </row>
    <row r="88" spans="1:9" ht="15.75" customHeight="1">
      <c r="A88" s="13" t="s">
        <v>132</v>
      </c>
      <c r="B88" s="4" t="s">
        <v>133</v>
      </c>
      <c r="C88" s="13" t="s">
        <v>130</v>
      </c>
      <c r="D88" s="13" t="s">
        <v>134</v>
      </c>
      <c r="E88" s="241"/>
      <c r="F88" s="242"/>
    </row>
    <row r="89" spans="1:9" ht="15.75" customHeight="1">
      <c r="A89" s="257" t="s">
        <v>43</v>
      </c>
      <c r="B89" s="258" t="s">
        <v>135</v>
      </c>
      <c r="C89" s="259"/>
      <c r="D89" s="259"/>
      <c r="E89" s="259"/>
      <c r="F89" s="240"/>
    </row>
    <row r="90" spans="1:9" ht="15.75" customHeight="1">
      <c r="A90" s="251"/>
      <c r="B90" s="241"/>
      <c r="C90" s="260"/>
      <c r="D90" s="260"/>
      <c r="E90" s="260"/>
      <c r="F90" s="242"/>
    </row>
    <row r="91" spans="1:9" ht="15.75" customHeight="1">
      <c r="A91" s="19"/>
      <c r="B91" s="19"/>
      <c r="C91" s="19"/>
      <c r="D91" s="19"/>
      <c r="E91" s="19"/>
      <c r="F91" s="19"/>
    </row>
    <row r="92" spans="1:9" ht="15.75" customHeight="1"/>
    <row r="93" spans="1:9" ht="15.75" customHeight="1">
      <c r="A93" s="20" t="s">
        <v>136</v>
      </c>
      <c r="B93" s="236">
        <v>2018</v>
      </c>
      <c r="C93" s="237"/>
      <c r="D93" s="237"/>
      <c r="E93" s="238"/>
      <c r="F93" s="239" t="s">
        <v>1</v>
      </c>
      <c r="G93" s="240"/>
      <c r="H93" s="13" t="s">
        <v>137</v>
      </c>
      <c r="I93" s="13" t="s">
        <v>138</v>
      </c>
    </row>
    <row r="94" spans="1:9" ht="15.75" customHeight="1">
      <c r="A94" s="250" t="s">
        <v>3</v>
      </c>
      <c r="B94" s="279" t="s">
        <v>139</v>
      </c>
      <c r="C94" s="237"/>
      <c r="D94" s="237"/>
      <c r="E94" s="238"/>
      <c r="F94" s="241"/>
      <c r="G94" s="242"/>
      <c r="H94" s="13" t="s">
        <v>140</v>
      </c>
      <c r="I94" s="13" t="s">
        <v>141</v>
      </c>
    </row>
    <row r="95" spans="1:9" ht="15.75" customHeight="1">
      <c r="A95" s="266"/>
      <c r="B95" s="263" t="s">
        <v>142</v>
      </c>
      <c r="C95" s="237"/>
      <c r="D95" s="237"/>
      <c r="E95" s="238"/>
      <c r="F95" s="280" t="s">
        <v>143</v>
      </c>
      <c r="G95" s="240"/>
      <c r="H95" s="13" t="s">
        <v>144</v>
      </c>
      <c r="I95" s="13" t="s">
        <v>145</v>
      </c>
    </row>
    <row r="96" spans="1:9" ht="15.75" customHeight="1">
      <c r="A96" s="251"/>
      <c r="B96" s="21" t="s">
        <v>146</v>
      </c>
      <c r="C96" s="2" t="s">
        <v>147</v>
      </c>
      <c r="D96" s="2" t="s">
        <v>148</v>
      </c>
      <c r="E96" s="17" t="s">
        <v>149</v>
      </c>
      <c r="F96" s="253"/>
      <c r="G96" s="254"/>
    </row>
    <row r="97" spans="1:7" ht="15.75" customHeight="1">
      <c r="A97" s="13" t="s">
        <v>150</v>
      </c>
      <c r="B97" s="22" t="s">
        <v>151</v>
      </c>
      <c r="C97" s="5" t="s">
        <v>151</v>
      </c>
      <c r="D97" s="5" t="s">
        <v>152</v>
      </c>
      <c r="E97" s="4" t="s">
        <v>153</v>
      </c>
      <c r="F97" s="253"/>
      <c r="G97" s="254"/>
    </row>
    <row r="98" spans="1:7" ht="15.75" customHeight="1">
      <c r="A98" s="13" t="s">
        <v>91</v>
      </c>
      <c r="B98" s="4" t="s">
        <v>154</v>
      </c>
      <c r="C98" s="4" t="s">
        <v>155</v>
      </c>
      <c r="D98" s="4" t="s">
        <v>156</v>
      </c>
      <c r="E98" s="22" t="s">
        <v>157</v>
      </c>
      <c r="F98" s="253"/>
      <c r="G98" s="254"/>
    </row>
    <row r="99" spans="1:7" ht="15.75" customHeight="1">
      <c r="A99" s="13" t="s">
        <v>158</v>
      </c>
      <c r="B99" s="4">
        <v>0</v>
      </c>
      <c r="C99" s="4">
        <v>0</v>
      </c>
      <c r="D99" s="4">
        <v>0</v>
      </c>
      <c r="E99" s="22" t="s">
        <v>159</v>
      </c>
      <c r="F99" s="253"/>
      <c r="G99" s="254"/>
    </row>
    <row r="100" spans="1:7" ht="15.75" customHeight="1">
      <c r="A100" s="13" t="s">
        <v>99</v>
      </c>
      <c r="B100" s="4" t="s">
        <v>160</v>
      </c>
      <c r="C100" s="4" t="s">
        <v>161</v>
      </c>
      <c r="D100" s="4" t="s">
        <v>162</v>
      </c>
      <c r="E100" s="22" t="s">
        <v>163</v>
      </c>
      <c r="F100" s="253"/>
      <c r="G100" s="254"/>
    </row>
    <row r="101" spans="1:7" ht="15.75" customHeight="1">
      <c r="A101" s="13" t="s">
        <v>164</v>
      </c>
      <c r="B101" s="4" t="s">
        <v>165</v>
      </c>
      <c r="C101" s="4" t="s">
        <v>166</v>
      </c>
      <c r="D101" s="4" t="s">
        <v>167</v>
      </c>
      <c r="E101" s="22" t="s">
        <v>168</v>
      </c>
      <c r="F101" s="253"/>
      <c r="G101" s="254"/>
    </row>
    <row r="102" spans="1:7" ht="15.75" customHeight="1">
      <c r="A102" s="13" t="s">
        <v>92</v>
      </c>
      <c r="B102" s="4" t="s">
        <v>169</v>
      </c>
      <c r="C102" s="4" t="s">
        <v>170</v>
      </c>
      <c r="D102" s="4" t="s">
        <v>171</v>
      </c>
      <c r="E102" s="22" t="s">
        <v>172</v>
      </c>
      <c r="F102" s="241"/>
      <c r="G102" s="242"/>
    </row>
    <row r="103" spans="1:7" ht="15.75" customHeight="1">
      <c r="A103" s="257" t="s">
        <v>43</v>
      </c>
      <c r="B103" s="258" t="s">
        <v>173</v>
      </c>
      <c r="C103" s="259"/>
      <c r="D103" s="259"/>
      <c r="E103" s="259"/>
      <c r="F103" s="259"/>
      <c r="G103" s="240"/>
    </row>
    <row r="104" spans="1:7" ht="15.75" customHeight="1">
      <c r="A104" s="251"/>
      <c r="B104" s="241"/>
      <c r="C104" s="260"/>
      <c r="D104" s="260"/>
      <c r="E104" s="260"/>
      <c r="F104" s="260"/>
      <c r="G104" s="242"/>
    </row>
    <row r="105" spans="1:7" ht="15.75" customHeight="1"/>
    <row r="106" spans="1:7" ht="15.75" customHeight="1"/>
    <row r="107" spans="1:7" ht="15.75" customHeight="1">
      <c r="A107" s="20" t="s">
        <v>174</v>
      </c>
      <c r="B107" s="236">
        <v>2021</v>
      </c>
      <c r="C107" s="237"/>
      <c r="D107" s="237"/>
      <c r="E107" s="237"/>
      <c r="F107" s="238"/>
      <c r="G107" s="271" t="s">
        <v>1</v>
      </c>
    </row>
    <row r="108" spans="1:7" ht="15.75" customHeight="1">
      <c r="A108" s="250" t="s">
        <v>3</v>
      </c>
      <c r="B108" s="272" t="s">
        <v>175</v>
      </c>
      <c r="C108" s="237"/>
      <c r="D108" s="237"/>
      <c r="E108" s="237"/>
      <c r="F108" s="238"/>
      <c r="G108" s="266"/>
    </row>
    <row r="109" spans="1:7" ht="15.75" customHeight="1">
      <c r="A109" s="266"/>
      <c r="B109" s="263" t="s">
        <v>4</v>
      </c>
      <c r="C109" s="237"/>
      <c r="D109" s="237"/>
      <c r="E109" s="237"/>
      <c r="F109" s="238"/>
      <c r="G109" s="251"/>
    </row>
    <row r="110" spans="1:7" ht="15.75" customHeight="1">
      <c r="A110" s="266"/>
      <c r="B110" s="278" t="s">
        <v>176</v>
      </c>
      <c r="C110" s="271" t="s">
        <v>177</v>
      </c>
      <c r="D110" s="271" t="s">
        <v>178</v>
      </c>
      <c r="E110" s="278" t="s">
        <v>179</v>
      </c>
      <c r="F110" s="273" t="s">
        <v>180</v>
      </c>
      <c r="G110" s="9" t="s">
        <v>181</v>
      </c>
    </row>
    <row r="111" spans="1:7" ht="15.75" customHeight="1">
      <c r="A111" s="251"/>
      <c r="B111" s="251"/>
      <c r="C111" s="251"/>
      <c r="D111" s="251"/>
      <c r="E111" s="251"/>
      <c r="F111" s="274"/>
      <c r="G111" s="9" t="s">
        <v>182</v>
      </c>
    </row>
    <row r="112" spans="1:7" ht="15.75" customHeight="1">
      <c r="A112" s="13" t="s">
        <v>14</v>
      </c>
      <c r="B112" s="4" t="s">
        <v>183</v>
      </c>
      <c r="C112" s="4" t="s">
        <v>184</v>
      </c>
      <c r="D112" s="4">
        <v>9.6999999999999993</v>
      </c>
      <c r="E112" s="4" t="s">
        <v>185</v>
      </c>
      <c r="F112" s="4" t="s">
        <v>186</v>
      </c>
      <c r="G112" s="23" t="s">
        <v>187</v>
      </c>
    </row>
    <row r="113" spans="1:7" ht="15.75" customHeight="1">
      <c r="A113" s="13" t="s">
        <v>150</v>
      </c>
      <c r="B113" s="4" t="s">
        <v>188</v>
      </c>
      <c r="C113" s="4"/>
      <c r="D113" s="4" t="s">
        <v>189</v>
      </c>
      <c r="E113" s="4" t="s">
        <v>190</v>
      </c>
      <c r="F113" s="4" t="s">
        <v>191</v>
      </c>
      <c r="G113" s="23" t="s">
        <v>192</v>
      </c>
    </row>
    <row r="114" spans="1:7" ht="15.75" customHeight="1">
      <c r="A114" s="13" t="s">
        <v>193</v>
      </c>
      <c r="B114" s="4" t="s">
        <v>194</v>
      </c>
      <c r="C114" s="4"/>
      <c r="D114" s="4">
        <v>16.010000000000002</v>
      </c>
      <c r="E114" s="4" t="s">
        <v>195</v>
      </c>
      <c r="F114" s="4">
        <v>25.03</v>
      </c>
      <c r="G114" s="23" t="s">
        <v>196</v>
      </c>
    </row>
    <row r="115" spans="1:7" ht="15.75" customHeight="1">
      <c r="A115" s="13" t="s">
        <v>197</v>
      </c>
      <c r="B115" s="4" t="s">
        <v>198</v>
      </c>
      <c r="C115" s="4" t="s">
        <v>184</v>
      </c>
      <c r="D115" s="4" t="s">
        <v>199</v>
      </c>
      <c r="E115" s="4" t="s">
        <v>200</v>
      </c>
      <c r="F115" s="4" t="s">
        <v>201</v>
      </c>
      <c r="G115" s="23" t="s">
        <v>202</v>
      </c>
    </row>
    <row r="116" spans="1:7" ht="15.75" customHeight="1">
      <c r="A116" s="13" t="s">
        <v>10</v>
      </c>
      <c r="B116" s="4" t="s">
        <v>203</v>
      </c>
      <c r="C116" s="4"/>
      <c r="D116" s="4">
        <v>8.1</v>
      </c>
      <c r="E116" s="4" t="s">
        <v>185</v>
      </c>
      <c r="F116" s="4" t="s">
        <v>201</v>
      </c>
      <c r="G116" s="23" t="s">
        <v>204</v>
      </c>
    </row>
    <row r="117" spans="1:7" ht="15.75" customHeight="1">
      <c r="A117" s="13" t="s">
        <v>30</v>
      </c>
      <c r="B117" s="4">
        <v>26.5</v>
      </c>
      <c r="C117" s="4"/>
      <c r="D117" s="4">
        <v>0</v>
      </c>
      <c r="E117" s="4">
        <v>22.2</v>
      </c>
      <c r="F117" s="4">
        <v>8.01</v>
      </c>
      <c r="G117" s="23"/>
    </row>
    <row r="118" spans="1:7" ht="15.75" customHeight="1">
      <c r="A118" s="13" t="s">
        <v>16</v>
      </c>
      <c r="B118" s="4" t="s">
        <v>205</v>
      </c>
      <c r="C118" s="4"/>
      <c r="D118" s="4" t="s">
        <v>206</v>
      </c>
      <c r="E118" s="4" t="s">
        <v>207</v>
      </c>
      <c r="F118" s="4">
        <v>23.02</v>
      </c>
      <c r="G118" s="23"/>
    </row>
    <row r="119" spans="1:7" ht="15.75" customHeight="1">
      <c r="A119" s="13" t="s">
        <v>13</v>
      </c>
      <c r="B119" s="4" t="s">
        <v>208</v>
      </c>
      <c r="C119" s="4"/>
      <c r="D119" s="4" t="s">
        <v>209</v>
      </c>
      <c r="E119" s="4" t="s">
        <v>200</v>
      </c>
      <c r="F119" s="4">
        <v>27.03</v>
      </c>
      <c r="G119" s="23"/>
    </row>
    <row r="120" spans="1:7" ht="15.75" customHeight="1">
      <c r="A120" s="13" t="s">
        <v>25</v>
      </c>
      <c r="B120" s="4" t="s">
        <v>210</v>
      </c>
      <c r="C120" s="4" t="s">
        <v>184</v>
      </c>
      <c r="D120" s="4">
        <v>4.8</v>
      </c>
      <c r="E120" s="4">
        <v>63</v>
      </c>
      <c r="F120" s="4">
        <v>21.02</v>
      </c>
      <c r="G120" s="23"/>
    </row>
    <row r="121" spans="1:7" ht="15.75" customHeight="1">
      <c r="A121" s="13" t="s">
        <v>21</v>
      </c>
      <c r="B121" s="4" t="s">
        <v>211</v>
      </c>
      <c r="C121" s="4"/>
      <c r="D121" s="4" t="s">
        <v>212</v>
      </c>
      <c r="E121" s="4" t="s">
        <v>213</v>
      </c>
      <c r="F121" s="4" t="s">
        <v>201</v>
      </c>
      <c r="G121" s="23"/>
    </row>
    <row r="122" spans="1:7" ht="15.75" customHeight="1">
      <c r="A122" s="13" t="s">
        <v>92</v>
      </c>
      <c r="B122" s="4" t="s">
        <v>214</v>
      </c>
      <c r="C122" s="4" t="s">
        <v>215</v>
      </c>
      <c r="D122" s="4" t="s">
        <v>216</v>
      </c>
      <c r="E122" s="4">
        <v>63</v>
      </c>
      <c r="F122" s="4">
        <v>22.02</v>
      </c>
      <c r="G122" s="23"/>
    </row>
    <row r="123" spans="1:7" ht="15.75" customHeight="1">
      <c r="A123" s="13" t="s">
        <v>23</v>
      </c>
      <c r="B123" s="4" t="s">
        <v>217</v>
      </c>
      <c r="C123" s="4"/>
      <c r="D123" s="4">
        <v>24.2</v>
      </c>
      <c r="E123" s="4" t="s">
        <v>218</v>
      </c>
      <c r="F123" s="4">
        <v>28.03</v>
      </c>
      <c r="G123" s="23"/>
    </row>
    <row r="124" spans="1:7" ht="15.75" customHeight="1">
      <c r="A124" s="13" t="s">
        <v>164</v>
      </c>
      <c r="B124" s="4" t="s">
        <v>219</v>
      </c>
      <c r="C124" s="4"/>
      <c r="D124" s="4" t="s">
        <v>220</v>
      </c>
      <c r="E124" s="4" t="s">
        <v>200</v>
      </c>
      <c r="F124" s="4" t="s">
        <v>221</v>
      </c>
      <c r="G124" s="23"/>
    </row>
    <row r="125" spans="1:7" ht="15.75" customHeight="1">
      <c r="A125" s="13" t="s">
        <v>99</v>
      </c>
      <c r="B125" s="4" t="s">
        <v>222</v>
      </c>
      <c r="C125" s="4"/>
      <c r="D125" s="4">
        <v>1.6</v>
      </c>
      <c r="E125" s="4" t="s">
        <v>223</v>
      </c>
      <c r="F125" s="4">
        <v>15.02</v>
      </c>
      <c r="G125" s="23"/>
    </row>
    <row r="126" spans="1:7" ht="15.75" customHeight="1">
      <c r="A126" s="13" t="s">
        <v>224</v>
      </c>
      <c r="B126" s="4" t="s">
        <v>225</v>
      </c>
      <c r="C126" s="4"/>
      <c r="D126" s="4">
        <v>4.8</v>
      </c>
      <c r="E126" s="4" t="s">
        <v>207</v>
      </c>
      <c r="F126" s="4">
        <v>26.03</v>
      </c>
      <c r="G126" s="23"/>
    </row>
    <row r="127" spans="1:7" ht="15.75" customHeight="1">
      <c r="A127" s="13" t="s">
        <v>226</v>
      </c>
      <c r="B127" s="4">
        <v>27.9</v>
      </c>
      <c r="C127" s="4"/>
      <c r="D127" s="4">
        <v>4.8</v>
      </c>
      <c r="E127" s="4">
        <v>37</v>
      </c>
      <c r="F127" s="4">
        <v>17.02</v>
      </c>
      <c r="G127" s="23"/>
    </row>
    <row r="128" spans="1:7" ht="15.75" customHeight="1">
      <c r="A128" s="13" t="s">
        <v>227</v>
      </c>
      <c r="B128" s="4" t="s">
        <v>228</v>
      </c>
      <c r="C128" s="4"/>
      <c r="D128" s="4" t="s">
        <v>229</v>
      </c>
      <c r="E128" s="4" t="s">
        <v>230</v>
      </c>
      <c r="F128" s="4" t="s">
        <v>231</v>
      </c>
      <c r="G128" s="24"/>
    </row>
    <row r="129" spans="1:8" ht="16.5" customHeight="1">
      <c r="A129" s="257" t="s">
        <v>43</v>
      </c>
      <c r="B129" s="258" t="s">
        <v>232</v>
      </c>
      <c r="C129" s="259"/>
      <c r="D129" s="259"/>
      <c r="E129" s="259"/>
      <c r="F129" s="259"/>
      <c r="G129" s="240"/>
    </row>
    <row r="130" spans="1:8" ht="15.75" customHeight="1">
      <c r="A130" s="266"/>
      <c r="B130" s="253"/>
      <c r="C130" s="265"/>
      <c r="D130" s="265"/>
      <c r="E130" s="265"/>
      <c r="F130" s="265"/>
      <c r="G130" s="254"/>
    </row>
    <row r="131" spans="1:8" ht="15.75" customHeight="1">
      <c r="A131" s="251"/>
      <c r="B131" s="241"/>
      <c r="C131" s="260"/>
      <c r="D131" s="260"/>
      <c r="E131" s="260"/>
      <c r="F131" s="260"/>
      <c r="G131" s="242"/>
    </row>
    <row r="132" spans="1:8" ht="15.75" customHeight="1"/>
    <row r="133" spans="1:8" ht="15.75" customHeight="1"/>
    <row r="134" spans="1:8" ht="15.75" customHeight="1">
      <c r="A134" s="20" t="s">
        <v>233</v>
      </c>
      <c r="B134" s="236">
        <v>2021</v>
      </c>
      <c r="C134" s="237"/>
      <c r="D134" s="237"/>
      <c r="E134" s="237"/>
      <c r="F134" s="237"/>
      <c r="G134" s="238"/>
      <c r="H134" s="271" t="s">
        <v>1</v>
      </c>
    </row>
    <row r="135" spans="1:8" ht="15.75" customHeight="1">
      <c r="A135" s="250" t="s">
        <v>3</v>
      </c>
      <c r="B135" s="272" t="s">
        <v>234</v>
      </c>
      <c r="C135" s="237"/>
      <c r="D135" s="237"/>
      <c r="E135" s="237"/>
      <c r="F135" s="237"/>
      <c r="G135" s="238"/>
      <c r="H135" s="266"/>
    </row>
    <row r="136" spans="1:8" ht="15.75" customHeight="1">
      <c r="A136" s="266"/>
      <c r="B136" s="263" t="s">
        <v>4</v>
      </c>
      <c r="C136" s="237"/>
      <c r="D136" s="237"/>
      <c r="E136" s="237"/>
      <c r="F136" s="237"/>
      <c r="G136" s="238"/>
      <c r="H136" s="251"/>
    </row>
    <row r="137" spans="1:8" ht="15.75" customHeight="1">
      <c r="A137" s="266"/>
      <c r="B137" s="271" t="s">
        <v>235</v>
      </c>
      <c r="C137" s="271" t="s">
        <v>236</v>
      </c>
      <c r="D137" s="271" t="s">
        <v>237</v>
      </c>
      <c r="E137" s="271" t="s">
        <v>238</v>
      </c>
      <c r="F137" s="271" t="s">
        <v>239</v>
      </c>
      <c r="G137" s="271" t="s">
        <v>240</v>
      </c>
      <c r="H137" s="9"/>
    </row>
    <row r="138" spans="1:8" ht="15.75" customHeight="1">
      <c r="A138" s="251"/>
      <c r="B138" s="251"/>
      <c r="C138" s="251"/>
      <c r="D138" s="251"/>
      <c r="E138" s="251"/>
      <c r="F138" s="251"/>
      <c r="G138" s="251"/>
      <c r="H138" s="9"/>
    </row>
    <row r="139" spans="1:8" ht="15.75" customHeight="1">
      <c r="A139" s="3" t="s">
        <v>241</v>
      </c>
      <c r="B139" s="4"/>
      <c r="C139" s="4"/>
      <c r="D139" s="4"/>
      <c r="E139" s="4"/>
      <c r="F139" s="4"/>
      <c r="H139" s="23"/>
    </row>
    <row r="140" spans="1:8" ht="15.75" customHeight="1">
      <c r="A140" s="3" t="s">
        <v>14</v>
      </c>
      <c r="B140" s="4"/>
      <c r="C140" s="4"/>
      <c r="D140" s="4"/>
      <c r="E140" s="4"/>
      <c r="F140" s="4"/>
      <c r="H140" s="23"/>
    </row>
    <row r="141" spans="1:8" ht="15.75" customHeight="1">
      <c r="A141" s="3" t="s">
        <v>242</v>
      </c>
      <c r="B141" s="4"/>
      <c r="C141" s="4"/>
      <c r="D141" s="4"/>
      <c r="E141" s="4"/>
      <c r="F141" s="4"/>
      <c r="H141" s="23"/>
    </row>
    <row r="142" spans="1:8" ht="15.75" customHeight="1">
      <c r="A142" s="3" t="s">
        <v>10</v>
      </c>
      <c r="B142" s="4"/>
      <c r="C142" s="4"/>
      <c r="D142" s="4"/>
      <c r="E142" s="4"/>
      <c r="F142" s="4"/>
      <c r="H142" s="23"/>
    </row>
    <row r="143" spans="1:8" ht="15.75" customHeight="1">
      <c r="A143" s="3" t="s">
        <v>224</v>
      </c>
      <c r="B143" s="4"/>
      <c r="C143" s="4"/>
      <c r="D143" s="4"/>
      <c r="E143" s="4"/>
      <c r="F143" s="4"/>
      <c r="H143" s="23"/>
    </row>
    <row r="144" spans="1:8" ht="15.75" customHeight="1">
      <c r="A144" s="3" t="s">
        <v>16</v>
      </c>
      <c r="B144" s="4"/>
      <c r="C144" s="4"/>
      <c r="D144" s="4"/>
      <c r="E144" s="4"/>
      <c r="F144" s="4"/>
      <c r="H144" s="23"/>
    </row>
    <row r="145" spans="1:8" ht="15.75" customHeight="1">
      <c r="A145" s="3" t="s">
        <v>91</v>
      </c>
      <c r="B145" s="4"/>
      <c r="C145" s="4"/>
      <c r="D145" s="4"/>
      <c r="E145" s="4"/>
      <c r="F145" s="4"/>
      <c r="H145" s="23"/>
    </row>
    <row r="146" spans="1:8" ht="15.75" customHeight="1">
      <c r="A146" s="3" t="s">
        <v>243</v>
      </c>
      <c r="C146" s="4"/>
      <c r="D146" s="4"/>
      <c r="E146" s="4"/>
      <c r="F146" s="4"/>
      <c r="H146" s="23"/>
    </row>
    <row r="147" spans="1:8" ht="49.5" customHeight="1">
      <c r="A147" s="6" t="s">
        <v>244</v>
      </c>
      <c r="B147" s="7"/>
      <c r="C147" s="7"/>
      <c r="D147" s="7"/>
      <c r="E147" s="7"/>
      <c r="F147" s="7"/>
      <c r="H147" s="23"/>
    </row>
    <row r="148" spans="1:8" ht="16.5" customHeight="1">
      <c r="A148" s="257" t="s">
        <v>43</v>
      </c>
      <c r="B148" s="275"/>
      <c r="C148" s="276"/>
      <c r="D148" s="276"/>
      <c r="E148" s="276"/>
      <c r="F148" s="276"/>
      <c r="G148" s="277"/>
      <c r="H148" s="23"/>
    </row>
    <row r="149" spans="1:8" ht="15.75" customHeight="1">
      <c r="A149" s="266"/>
      <c r="B149" s="253"/>
      <c r="C149" s="265"/>
      <c r="D149" s="265"/>
      <c r="E149" s="265"/>
      <c r="F149" s="265"/>
      <c r="G149" s="254"/>
      <c r="H149" s="23"/>
    </row>
    <row r="150" spans="1:8" ht="15.75" customHeight="1">
      <c r="A150" s="251"/>
      <c r="B150" s="241"/>
      <c r="C150" s="260"/>
      <c r="D150" s="260"/>
      <c r="E150" s="260"/>
      <c r="F150" s="260"/>
      <c r="G150" s="242"/>
      <c r="H150" s="24"/>
    </row>
    <row r="151" spans="1:8" ht="15.75" customHeight="1">
      <c r="B151" s="4"/>
      <c r="C151" s="4"/>
      <c r="D151" s="4"/>
      <c r="E151" s="4"/>
      <c r="F151" s="4"/>
    </row>
    <row r="152" spans="1:8" ht="15.75" customHeight="1">
      <c r="B152" s="4"/>
      <c r="C152" s="4"/>
      <c r="D152" s="4"/>
      <c r="E152" s="4"/>
      <c r="F152" s="4"/>
    </row>
    <row r="153" spans="1:8" ht="15.75" customHeight="1">
      <c r="A153" s="20" t="s">
        <v>245</v>
      </c>
      <c r="B153" s="236">
        <v>2016</v>
      </c>
      <c r="C153" s="237"/>
      <c r="D153" s="237"/>
      <c r="E153" s="237"/>
      <c r="F153" s="237"/>
      <c r="G153" s="238"/>
      <c r="H153" s="271" t="s">
        <v>1</v>
      </c>
    </row>
    <row r="154" spans="1:8" ht="15.75" customHeight="1">
      <c r="A154" s="250" t="s">
        <v>3</v>
      </c>
      <c r="B154" s="272" t="s">
        <v>246</v>
      </c>
      <c r="C154" s="237"/>
      <c r="D154" s="237"/>
      <c r="E154" s="237"/>
      <c r="F154" s="237"/>
      <c r="G154" s="238"/>
      <c r="H154" s="266"/>
    </row>
    <row r="155" spans="1:8" ht="15.75" customHeight="1">
      <c r="A155" s="266"/>
      <c r="B155" s="263" t="s">
        <v>4</v>
      </c>
      <c r="C155" s="237"/>
      <c r="D155" s="237"/>
      <c r="E155" s="237"/>
      <c r="F155" s="237"/>
      <c r="G155" s="238"/>
      <c r="H155" s="251"/>
    </row>
    <row r="156" spans="1:8" ht="15.75" customHeight="1">
      <c r="A156" s="266"/>
      <c r="B156" s="271"/>
      <c r="C156" s="271"/>
      <c r="D156" s="271"/>
      <c r="E156" s="271"/>
      <c r="F156" s="271"/>
      <c r="G156" s="271"/>
      <c r="H156" s="9"/>
    </row>
    <row r="157" spans="1:8" ht="15.75" customHeight="1">
      <c r="A157" s="251"/>
      <c r="B157" s="251"/>
      <c r="C157" s="251"/>
      <c r="D157" s="251"/>
      <c r="E157" s="251"/>
      <c r="F157" s="251"/>
      <c r="G157" s="251"/>
      <c r="H157" s="9"/>
    </row>
    <row r="158" spans="1:8" ht="15.75" customHeight="1">
      <c r="A158" s="3" t="s">
        <v>247</v>
      </c>
      <c r="B158" s="4"/>
      <c r="C158" s="4"/>
      <c r="D158" s="4"/>
      <c r="E158" s="4"/>
      <c r="F158" s="4"/>
      <c r="H158" s="23"/>
    </row>
    <row r="159" spans="1:8" ht="15.75" customHeight="1">
      <c r="A159" s="3" t="s">
        <v>248</v>
      </c>
      <c r="B159" s="4"/>
      <c r="C159" s="4"/>
      <c r="D159" s="4"/>
      <c r="E159" s="4"/>
      <c r="F159" s="4"/>
      <c r="H159" s="23"/>
    </row>
    <row r="160" spans="1:8" ht="15.75" customHeight="1">
      <c r="A160" s="3" t="s">
        <v>249</v>
      </c>
      <c r="B160" s="4"/>
      <c r="C160" s="4"/>
      <c r="D160" s="4"/>
      <c r="E160" s="4"/>
      <c r="F160" s="4"/>
      <c r="H160" s="23"/>
    </row>
    <row r="161" spans="1:8" ht="15.75" customHeight="1">
      <c r="A161" s="3" t="s">
        <v>250</v>
      </c>
      <c r="B161" s="4"/>
      <c r="C161" s="4"/>
      <c r="D161" s="4"/>
      <c r="E161" s="4"/>
      <c r="F161" s="4"/>
      <c r="H161" s="23"/>
    </row>
    <row r="162" spans="1:8" ht="15.75" customHeight="1">
      <c r="A162" s="3" t="s">
        <v>82</v>
      </c>
      <c r="B162" s="4"/>
      <c r="C162" s="4"/>
      <c r="D162" s="4"/>
      <c r="E162" s="4"/>
      <c r="F162" s="4"/>
      <c r="H162" s="23"/>
    </row>
    <row r="163" spans="1:8" ht="15.75" customHeight="1">
      <c r="A163" s="3" t="s">
        <v>21</v>
      </c>
      <c r="B163" s="4"/>
      <c r="C163" s="4"/>
      <c r="D163" s="4"/>
      <c r="E163" s="4"/>
      <c r="F163" s="4"/>
      <c r="H163" s="23"/>
    </row>
    <row r="164" spans="1:8" ht="15.75" customHeight="1">
      <c r="A164" s="3" t="s">
        <v>13</v>
      </c>
      <c r="B164" s="4"/>
      <c r="C164" s="4"/>
      <c r="D164" s="4"/>
      <c r="E164" s="4"/>
      <c r="F164" s="4"/>
      <c r="H164" s="23"/>
    </row>
    <row r="165" spans="1:8" ht="15.75" customHeight="1">
      <c r="A165" s="3" t="s">
        <v>99</v>
      </c>
      <c r="C165" s="4"/>
      <c r="D165" s="4"/>
      <c r="E165" s="4"/>
      <c r="F165" s="4"/>
      <c r="H165" s="23"/>
    </row>
    <row r="166" spans="1:8" ht="15.75" customHeight="1">
      <c r="A166" s="6" t="s">
        <v>251</v>
      </c>
      <c r="B166" s="6"/>
      <c r="C166" s="6"/>
      <c r="D166" s="6"/>
      <c r="E166" s="6"/>
      <c r="F166" s="6"/>
      <c r="H166" s="23"/>
    </row>
    <row r="167" spans="1:8" ht="15.75" customHeight="1">
      <c r="A167" s="3" t="s">
        <v>158</v>
      </c>
      <c r="H167" s="23"/>
    </row>
    <row r="168" spans="1:8" ht="15.75" customHeight="1">
      <c r="A168" s="3" t="s">
        <v>252</v>
      </c>
      <c r="H168" s="23"/>
    </row>
    <row r="169" spans="1:8" ht="15.75" customHeight="1">
      <c r="A169" s="3" t="s">
        <v>253</v>
      </c>
      <c r="H169" s="24"/>
    </row>
    <row r="170" spans="1:8" ht="15.75" customHeight="1"/>
    <row r="171" spans="1:8" ht="15.75" customHeight="1">
      <c r="A171" s="257" t="s">
        <v>43</v>
      </c>
      <c r="B171" s="275"/>
      <c r="C171" s="276"/>
      <c r="D171" s="276"/>
      <c r="E171" s="276"/>
      <c r="F171" s="276"/>
      <c r="G171" s="277"/>
    </row>
    <row r="172" spans="1:8" ht="15.75" customHeight="1">
      <c r="A172" s="266"/>
      <c r="B172" s="253"/>
      <c r="C172" s="265"/>
      <c r="D172" s="265"/>
      <c r="E172" s="265"/>
      <c r="F172" s="265"/>
      <c r="G172" s="254"/>
    </row>
    <row r="173" spans="1:8" ht="15.75" customHeight="1">
      <c r="A173" s="251"/>
      <c r="B173" s="241"/>
      <c r="C173" s="260"/>
      <c r="D173" s="260"/>
      <c r="E173" s="260"/>
      <c r="F173" s="260"/>
      <c r="G173" s="242"/>
    </row>
    <row r="174" spans="1:8" ht="15.75" customHeight="1"/>
    <row r="175" spans="1:8" ht="15.75" customHeight="1"/>
    <row r="176" spans="1:8" ht="15.75" customHeight="1">
      <c r="A176" s="20" t="s">
        <v>254</v>
      </c>
      <c r="B176" s="236">
        <v>2015</v>
      </c>
      <c r="C176" s="237"/>
      <c r="D176" s="237"/>
      <c r="E176" s="238"/>
      <c r="F176" s="239" t="s">
        <v>1</v>
      </c>
      <c r="G176" s="240"/>
    </row>
    <row r="177" spans="1:7" ht="15" customHeight="1">
      <c r="A177" s="250" t="s">
        <v>3</v>
      </c>
      <c r="B177" s="279" t="s">
        <v>255</v>
      </c>
      <c r="C177" s="237"/>
      <c r="D177" s="237"/>
      <c r="E177" s="238"/>
      <c r="F177" s="241"/>
      <c r="G177" s="242"/>
    </row>
    <row r="178" spans="1:7" ht="17.25" customHeight="1">
      <c r="A178" s="266"/>
      <c r="B178" s="263" t="s">
        <v>4</v>
      </c>
      <c r="C178" s="237"/>
      <c r="D178" s="237"/>
      <c r="E178" s="238"/>
      <c r="F178" s="280"/>
      <c r="G178" s="240"/>
    </row>
    <row r="179" spans="1:7" ht="15.75" hidden="1" customHeight="1">
      <c r="A179" s="251"/>
      <c r="B179" s="21"/>
      <c r="C179" s="2"/>
      <c r="D179" s="2"/>
      <c r="E179" s="17"/>
      <c r="F179" s="253"/>
      <c r="G179" s="254"/>
    </row>
    <row r="180" spans="1:7" ht="15.75" customHeight="1">
      <c r="A180" s="3" t="s">
        <v>92</v>
      </c>
      <c r="B180" s="22"/>
      <c r="C180" s="5"/>
      <c r="D180" s="5"/>
      <c r="E180" s="4"/>
      <c r="F180" s="253"/>
      <c r="G180" s="254"/>
    </row>
    <row r="181" spans="1:7" ht="15.75" customHeight="1">
      <c r="A181" s="6" t="s">
        <v>256</v>
      </c>
      <c r="B181" s="4"/>
      <c r="C181" s="4"/>
      <c r="D181" s="4"/>
      <c r="E181" s="22"/>
      <c r="F181" s="253"/>
      <c r="G181" s="254"/>
    </row>
    <row r="182" spans="1:7" ht="15.75" customHeight="1">
      <c r="A182" s="3" t="s">
        <v>257</v>
      </c>
      <c r="B182" s="4"/>
      <c r="C182" s="4"/>
      <c r="D182" s="4"/>
      <c r="E182" s="22"/>
      <c r="F182" s="253"/>
      <c r="G182" s="254"/>
    </row>
    <row r="183" spans="1:7" ht="15.75" customHeight="1">
      <c r="A183" s="3" t="s">
        <v>258</v>
      </c>
      <c r="B183" s="4"/>
      <c r="C183" s="4"/>
      <c r="D183" s="4"/>
      <c r="E183" s="22"/>
      <c r="F183" s="253"/>
      <c r="G183" s="254"/>
    </row>
    <row r="184" spans="1:7" ht="15.75" customHeight="1">
      <c r="A184" s="3" t="s">
        <v>259</v>
      </c>
      <c r="B184" s="4"/>
      <c r="C184" s="4"/>
      <c r="D184" s="4"/>
      <c r="E184" s="22"/>
      <c r="F184" s="253"/>
      <c r="G184" s="254"/>
    </row>
    <row r="185" spans="1:7" ht="15.75" customHeight="1">
      <c r="B185" s="4"/>
      <c r="C185" s="4"/>
      <c r="D185" s="4"/>
      <c r="E185" s="22"/>
      <c r="F185" s="241"/>
      <c r="G185" s="242"/>
    </row>
    <row r="186" spans="1:7" ht="15.75" customHeight="1">
      <c r="A186" s="257" t="s">
        <v>43</v>
      </c>
      <c r="B186" s="258"/>
      <c r="C186" s="259"/>
      <c r="D186" s="259"/>
      <c r="E186" s="259"/>
      <c r="F186" s="259"/>
      <c r="G186" s="240"/>
    </row>
    <row r="187" spans="1:7" ht="15.75" customHeight="1">
      <c r="A187" s="251"/>
      <c r="B187" s="241"/>
      <c r="C187" s="260"/>
      <c r="D187" s="260"/>
      <c r="E187" s="260"/>
      <c r="F187" s="260"/>
      <c r="G187" s="242"/>
    </row>
    <row r="188" spans="1:7" ht="15.75" customHeight="1"/>
    <row r="189" spans="1:7" ht="15.75" customHeight="1"/>
    <row r="190" spans="1:7" ht="15.75" customHeight="1"/>
    <row r="191" spans="1:7" ht="15.75" customHeight="1"/>
    <row r="192" spans="1:7"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9">
    <mergeCell ref="B176:E176"/>
    <mergeCell ref="F176:G177"/>
    <mergeCell ref="A177:A179"/>
    <mergeCell ref="B177:E177"/>
    <mergeCell ref="B178:E178"/>
    <mergeCell ref="F178:G185"/>
    <mergeCell ref="A186:A187"/>
    <mergeCell ref="B186:G187"/>
    <mergeCell ref="A75:A76"/>
    <mergeCell ref="B75:F76"/>
    <mergeCell ref="A80:A83"/>
    <mergeCell ref="B81:D81"/>
    <mergeCell ref="D82:D83"/>
    <mergeCell ref="B94:E94"/>
    <mergeCell ref="B95:E95"/>
    <mergeCell ref="B82:B83"/>
    <mergeCell ref="C82:C83"/>
    <mergeCell ref="A89:A90"/>
    <mergeCell ref="B89:F90"/>
    <mergeCell ref="B93:E93"/>
    <mergeCell ref="F93:G94"/>
    <mergeCell ref="F95:G102"/>
    <mergeCell ref="D156:D157"/>
    <mergeCell ref="E156:E157"/>
    <mergeCell ref="F156:F157"/>
    <mergeCell ref="G156:G157"/>
    <mergeCell ref="B171:G173"/>
    <mergeCell ref="B79:D79"/>
    <mergeCell ref="B80:D80"/>
    <mergeCell ref="E79:F80"/>
    <mergeCell ref="E81:F88"/>
    <mergeCell ref="D110:D111"/>
    <mergeCell ref="E110:E111"/>
    <mergeCell ref="D137:D138"/>
    <mergeCell ref="E137:E138"/>
    <mergeCell ref="F137:F138"/>
    <mergeCell ref="G137:G138"/>
    <mergeCell ref="B148:G150"/>
    <mergeCell ref="B153:G153"/>
    <mergeCell ref="B108:F108"/>
    <mergeCell ref="B109:F109"/>
    <mergeCell ref="B110:B111"/>
    <mergeCell ref="C110:C111"/>
    <mergeCell ref="H153:H155"/>
    <mergeCell ref="B154:G154"/>
    <mergeCell ref="B155:G155"/>
    <mergeCell ref="A148:A150"/>
    <mergeCell ref="A154:A157"/>
    <mergeCell ref="B156:B157"/>
    <mergeCell ref="C156:C157"/>
    <mergeCell ref="A171:A173"/>
    <mergeCell ref="A94:A96"/>
    <mergeCell ref="A103:A104"/>
    <mergeCell ref="A108:A111"/>
    <mergeCell ref="A129:A131"/>
    <mergeCell ref="A135:A138"/>
    <mergeCell ref="B137:B138"/>
    <mergeCell ref="C137:C138"/>
    <mergeCell ref="F110:F111"/>
    <mergeCell ref="B129:G131"/>
    <mergeCell ref="B134:G134"/>
    <mergeCell ref="H134:H136"/>
    <mergeCell ref="B135:G135"/>
    <mergeCell ref="B136:G136"/>
    <mergeCell ref="B103:G104"/>
    <mergeCell ref="B107:F107"/>
    <mergeCell ref="G107:G109"/>
    <mergeCell ref="E68:F70"/>
    <mergeCell ref="E71:F74"/>
    <mergeCell ref="A64:A66"/>
    <mergeCell ref="B64:F66"/>
    <mergeCell ref="B68:D68"/>
    <mergeCell ref="A69:A70"/>
    <mergeCell ref="B69:D69"/>
    <mergeCell ref="B70:C70"/>
    <mergeCell ref="B71:C71"/>
    <mergeCell ref="B72:C72"/>
    <mergeCell ref="B73:C73"/>
    <mergeCell ref="B74:C74"/>
    <mergeCell ref="E50:F63"/>
    <mergeCell ref="A5:D5"/>
    <mergeCell ref="A24:F24"/>
    <mergeCell ref="A29:F29"/>
    <mergeCell ref="A31:A32"/>
    <mergeCell ref="B31:F32"/>
    <mergeCell ref="B35:D35"/>
    <mergeCell ref="B37:D37"/>
    <mergeCell ref="B44:F45"/>
    <mergeCell ref="B48:D48"/>
    <mergeCell ref="E48:F49"/>
    <mergeCell ref="A49:D49"/>
    <mergeCell ref="B50:C50"/>
    <mergeCell ref="D50:D51"/>
    <mergeCell ref="B38:D38"/>
    <mergeCell ref="B39:D39"/>
    <mergeCell ref="B40:D40"/>
    <mergeCell ref="B41:D41"/>
    <mergeCell ref="B42:D42"/>
    <mergeCell ref="B43:D43"/>
    <mergeCell ref="A44:A45"/>
    <mergeCell ref="B1:D1"/>
    <mergeCell ref="E1:F2"/>
    <mergeCell ref="A2:D2"/>
    <mergeCell ref="A3:A4"/>
    <mergeCell ref="B3:C3"/>
    <mergeCell ref="D3:D4"/>
    <mergeCell ref="E3:F5"/>
    <mergeCell ref="E35:F36"/>
    <mergeCell ref="E37:F43"/>
  </mergeCells>
  <hyperlinks>
    <hyperlink ref="E3" r:id="rId1" xr:uid="{00000000-0004-0000-0000-000000000000}"/>
    <hyperlink ref="D36" r:id="rId2" xr:uid="{00000000-0004-0000-0000-000001000000}"/>
    <hyperlink ref="B69" r:id="rId3" xr:uid="{00000000-0004-0000-0000-000002000000}"/>
    <hyperlink ref="B94" r:id="rId4" xr:uid="{00000000-0004-0000-0000-000003000000}"/>
    <hyperlink ref="B108" r:id="rId5" xr:uid="{00000000-0004-0000-0000-000004000000}"/>
    <hyperlink ref="B135" r:id="rId6" xr:uid="{00000000-0004-0000-0000-000005000000}"/>
    <hyperlink ref="B154" r:id="rId7" xr:uid="{00000000-0004-0000-0000-000006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998"/>
  <sheetViews>
    <sheetView tabSelected="1" workbookViewId="0">
      <pane ySplit="1" topLeftCell="A2" activePane="bottomLeft" state="frozen"/>
      <selection pane="bottomLeft" activeCell="F378" sqref="F378"/>
    </sheetView>
  </sheetViews>
  <sheetFormatPr baseColWidth="10" defaultColWidth="11.1640625" defaultRowHeight="15" customHeight="1"/>
  <cols>
    <col min="1" max="1" width="12.33203125" customWidth="1"/>
    <col min="2" max="2" width="24.5" customWidth="1"/>
    <col min="3" max="3" width="10.1640625" customWidth="1"/>
    <col min="4" max="5" width="15.1640625" customWidth="1"/>
    <col min="6" max="6" width="31" customWidth="1"/>
    <col min="7" max="7" width="10.1640625" customWidth="1"/>
    <col min="8" max="11" width="8.5" customWidth="1"/>
    <col min="12" max="12" width="16.5" customWidth="1"/>
    <col min="13" max="13" width="11.1640625" customWidth="1"/>
    <col min="14" max="14" width="9.1640625" customWidth="1"/>
    <col min="15" max="15" width="25.1640625" customWidth="1"/>
    <col min="16" max="16" width="26.6640625" customWidth="1"/>
    <col min="17" max="17" width="17.6640625" customWidth="1"/>
    <col min="18" max="26" width="8.5" customWidth="1"/>
  </cols>
  <sheetData>
    <row r="1" spans="1:26" ht="15.75" customHeight="1">
      <c r="A1" s="25" t="s">
        <v>260</v>
      </c>
      <c r="B1" s="26" t="s">
        <v>261</v>
      </c>
      <c r="C1" s="26" t="s">
        <v>262</v>
      </c>
      <c r="D1" s="26" t="s">
        <v>263</v>
      </c>
      <c r="E1" s="26" t="s">
        <v>264</v>
      </c>
      <c r="F1" s="26" t="s">
        <v>265</v>
      </c>
      <c r="G1" s="27" t="s">
        <v>266</v>
      </c>
      <c r="H1" s="26" t="s">
        <v>267</v>
      </c>
      <c r="I1" s="26" t="s">
        <v>268</v>
      </c>
      <c r="J1" s="26" t="s">
        <v>269</v>
      </c>
      <c r="K1" s="26" t="s">
        <v>270</v>
      </c>
      <c r="L1" s="26" t="s">
        <v>271</v>
      </c>
      <c r="M1" s="26" t="s">
        <v>272</v>
      </c>
      <c r="N1" s="26" t="s">
        <v>273</v>
      </c>
      <c r="O1" s="26" t="s">
        <v>274</v>
      </c>
      <c r="P1" s="26" t="s">
        <v>275</v>
      </c>
      <c r="Q1" s="26" t="s">
        <v>276</v>
      </c>
      <c r="R1" s="5" t="s">
        <v>277</v>
      </c>
      <c r="S1" s="5"/>
      <c r="T1" s="5"/>
      <c r="U1" s="5"/>
      <c r="V1" s="5"/>
      <c r="W1" s="5"/>
      <c r="X1" s="5"/>
      <c r="Y1" s="5"/>
      <c r="Z1" s="5"/>
    </row>
    <row r="2" spans="1:26" ht="15.75" hidden="1" customHeight="1">
      <c r="A2" s="28">
        <v>1</v>
      </c>
      <c r="B2" s="28" t="s">
        <v>2</v>
      </c>
      <c r="C2" s="29" t="s">
        <v>278</v>
      </c>
      <c r="D2" s="29" t="s">
        <v>279</v>
      </c>
      <c r="E2" s="29"/>
      <c r="F2" s="30" t="s">
        <v>19</v>
      </c>
      <c r="G2" s="31"/>
      <c r="H2" s="29">
        <v>445</v>
      </c>
      <c r="I2" s="29">
        <v>2</v>
      </c>
      <c r="J2" s="29"/>
      <c r="K2" s="29">
        <v>500</v>
      </c>
      <c r="L2" s="29">
        <v>0.89</v>
      </c>
      <c r="M2" s="29">
        <v>1</v>
      </c>
      <c r="N2" s="32">
        <f t="shared" ref="N2:N49" si="0">2*M2*L2/(M2+L2)</f>
        <v>0.94179894179894175</v>
      </c>
      <c r="O2" s="33"/>
      <c r="P2" s="33"/>
      <c r="Q2" s="33"/>
      <c r="R2" s="5"/>
      <c r="S2" s="5"/>
      <c r="T2" s="5"/>
      <c r="U2" s="5"/>
      <c r="V2" s="5"/>
      <c r="W2" s="5"/>
      <c r="X2" s="5"/>
      <c r="Y2" s="5"/>
      <c r="Z2" s="5"/>
    </row>
    <row r="3" spans="1:26" ht="15.75" hidden="1" customHeight="1">
      <c r="A3" s="28">
        <v>1</v>
      </c>
      <c r="B3" s="28" t="s">
        <v>2</v>
      </c>
      <c r="C3" s="29" t="s">
        <v>278</v>
      </c>
      <c r="D3" s="29" t="s">
        <v>279</v>
      </c>
      <c r="E3" s="29"/>
      <c r="F3" s="69" t="s">
        <v>14</v>
      </c>
      <c r="G3" s="31"/>
      <c r="H3" s="29">
        <v>443</v>
      </c>
      <c r="I3" s="29">
        <v>11</v>
      </c>
      <c r="J3" s="29"/>
      <c r="K3" s="29">
        <v>500</v>
      </c>
      <c r="L3" s="29">
        <v>0.89</v>
      </c>
      <c r="M3" s="29">
        <v>0.98</v>
      </c>
      <c r="N3" s="32">
        <f t="shared" si="0"/>
        <v>0.93283422459893039</v>
      </c>
      <c r="O3" s="33"/>
      <c r="P3" s="33"/>
      <c r="Q3" s="33"/>
      <c r="R3" s="5"/>
      <c r="S3" s="5"/>
      <c r="T3" s="5"/>
      <c r="U3" s="5"/>
      <c r="V3" s="5"/>
      <c r="W3" s="5"/>
      <c r="X3" s="5"/>
      <c r="Y3" s="5"/>
      <c r="Z3" s="5"/>
    </row>
    <row r="4" spans="1:26" ht="15.75" hidden="1" customHeight="1">
      <c r="A4" s="28">
        <v>1</v>
      </c>
      <c r="B4" s="28" t="s">
        <v>2</v>
      </c>
      <c r="C4" s="29" t="s">
        <v>278</v>
      </c>
      <c r="D4" s="29" t="s">
        <v>279</v>
      </c>
      <c r="E4" s="29"/>
      <c r="F4" s="30" t="s">
        <v>281</v>
      </c>
      <c r="G4" s="31"/>
      <c r="H4" s="29">
        <v>422</v>
      </c>
      <c r="I4" s="29">
        <v>9</v>
      </c>
      <c r="J4" s="29"/>
      <c r="K4" s="29">
        <v>500</v>
      </c>
      <c r="L4" s="29">
        <v>0.84</v>
      </c>
      <c r="M4" s="29">
        <v>0.98</v>
      </c>
      <c r="N4" s="32">
        <f t="shared" si="0"/>
        <v>0.9046153846153846</v>
      </c>
      <c r="O4" s="33"/>
      <c r="P4" s="33"/>
      <c r="Q4" s="33"/>
      <c r="R4" s="5"/>
      <c r="S4" s="5"/>
      <c r="T4" s="5"/>
      <c r="U4" s="5"/>
      <c r="V4" s="5"/>
      <c r="W4" s="5"/>
      <c r="X4" s="5"/>
      <c r="Y4" s="5"/>
      <c r="Z4" s="5"/>
    </row>
    <row r="5" spans="1:26" ht="15.75" hidden="1" customHeight="1">
      <c r="A5" s="28">
        <v>1</v>
      </c>
      <c r="B5" s="28" t="s">
        <v>2</v>
      </c>
      <c r="C5" s="29" t="s">
        <v>278</v>
      </c>
      <c r="D5" s="29" t="s">
        <v>279</v>
      </c>
      <c r="E5" s="29"/>
      <c r="F5" s="30" t="s">
        <v>282</v>
      </c>
      <c r="G5" s="31"/>
      <c r="H5" s="29">
        <v>421</v>
      </c>
      <c r="I5" s="29">
        <v>13</v>
      </c>
      <c r="J5" s="29"/>
      <c r="K5" s="29">
        <v>500</v>
      </c>
      <c r="L5" s="29">
        <v>0.84</v>
      </c>
      <c r="M5" s="29">
        <v>0.97</v>
      </c>
      <c r="N5" s="32">
        <f t="shared" si="0"/>
        <v>0.9003314917127071</v>
      </c>
      <c r="O5" s="33"/>
      <c r="P5" s="33"/>
      <c r="Q5" s="33"/>
      <c r="R5" s="5"/>
      <c r="S5" s="5"/>
      <c r="T5" s="5"/>
      <c r="U5" s="5"/>
      <c r="V5" s="5"/>
      <c r="W5" s="5"/>
      <c r="X5" s="5"/>
      <c r="Y5" s="5"/>
      <c r="Z5" s="5"/>
    </row>
    <row r="6" spans="1:26" ht="15.75" hidden="1" customHeight="1">
      <c r="A6" s="28">
        <v>1</v>
      </c>
      <c r="B6" s="28" t="s">
        <v>2</v>
      </c>
      <c r="C6" s="29" t="s">
        <v>278</v>
      </c>
      <c r="D6" s="29" t="s">
        <v>279</v>
      </c>
      <c r="E6" s="29"/>
      <c r="F6" s="57" t="s">
        <v>82</v>
      </c>
      <c r="G6" s="31"/>
      <c r="H6" s="29">
        <v>415</v>
      </c>
      <c r="I6" s="29">
        <v>15</v>
      </c>
      <c r="J6" s="29"/>
      <c r="K6" s="29">
        <v>500</v>
      </c>
      <c r="L6" s="29">
        <v>0.83</v>
      </c>
      <c r="M6" s="29">
        <v>0.97</v>
      </c>
      <c r="N6" s="32">
        <f t="shared" si="0"/>
        <v>0.89455555555555555</v>
      </c>
      <c r="O6" s="33"/>
      <c r="P6" s="33"/>
      <c r="Q6" s="33"/>
      <c r="R6" s="5"/>
      <c r="S6" s="5"/>
      <c r="T6" s="5"/>
      <c r="U6" s="5"/>
      <c r="V6" s="5"/>
      <c r="W6" s="5"/>
      <c r="X6" s="5"/>
      <c r="Y6" s="5"/>
      <c r="Z6" s="5"/>
    </row>
    <row r="7" spans="1:26" ht="15.75" hidden="1" customHeight="1">
      <c r="A7" s="28">
        <v>1</v>
      </c>
      <c r="B7" s="28" t="s">
        <v>2</v>
      </c>
      <c r="C7" s="29" t="s">
        <v>278</v>
      </c>
      <c r="D7" s="29" t="s">
        <v>279</v>
      </c>
      <c r="E7" s="29"/>
      <c r="F7" s="95" t="s">
        <v>197</v>
      </c>
      <c r="G7" s="31"/>
      <c r="H7" s="29">
        <v>420</v>
      </c>
      <c r="I7" s="29">
        <v>21</v>
      </c>
      <c r="J7" s="29"/>
      <c r="K7" s="29">
        <v>500</v>
      </c>
      <c r="L7" s="29">
        <v>0.84</v>
      </c>
      <c r="M7" s="29">
        <v>0.95</v>
      </c>
      <c r="N7" s="32">
        <f t="shared" si="0"/>
        <v>0.89162011173184352</v>
      </c>
      <c r="O7" s="33"/>
      <c r="P7" s="33"/>
      <c r="Q7" s="33"/>
      <c r="R7" s="5"/>
      <c r="S7" s="5"/>
      <c r="T7" s="5"/>
      <c r="U7" s="5"/>
      <c r="V7" s="5"/>
      <c r="W7" s="5"/>
      <c r="X7" s="5"/>
      <c r="Y7" s="5"/>
      <c r="Z7" s="5"/>
    </row>
    <row r="8" spans="1:26" ht="15.75" customHeight="1">
      <c r="A8" s="28">
        <v>1</v>
      </c>
      <c r="B8" s="28" t="s">
        <v>2</v>
      </c>
      <c r="C8" s="29" t="s">
        <v>278</v>
      </c>
      <c r="D8" s="29" t="s">
        <v>279</v>
      </c>
      <c r="E8" s="29"/>
      <c r="F8" s="86" t="s">
        <v>99</v>
      </c>
      <c r="G8" s="31"/>
      <c r="H8" s="29">
        <v>403</v>
      </c>
      <c r="I8" s="29">
        <v>5</v>
      </c>
      <c r="J8" s="29"/>
      <c r="K8" s="29">
        <v>500</v>
      </c>
      <c r="L8" s="29">
        <v>0.81</v>
      </c>
      <c r="M8" s="29">
        <v>0.99</v>
      </c>
      <c r="N8" s="32">
        <f t="shared" si="0"/>
        <v>0.89100000000000001</v>
      </c>
      <c r="O8" s="33"/>
      <c r="P8" s="33"/>
      <c r="Q8" s="33"/>
      <c r="R8" s="5"/>
      <c r="S8" s="5"/>
      <c r="T8" s="5"/>
      <c r="U8" s="5"/>
      <c r="V8" s="5"/>
      <c r="W8" s="5"/>
      <c r="X8" s="5"/>
      <c r="Y8" s="5"/>
      <c r="Z8" s="5"/>
    </row>
    <row r="9" spans="1:26" ht="15.75" hidden="1" customHeight="1">
      <c r="A9" s="28">
        <v>1</v>
      </c>
      <c r="B9" s="28" t="s">
        <v>2</v>
      </c>
      <c r="C9" s="29" t="s">
        <v>278</v>
      </c>
      <c r="D9" s="29" t="s">
        <v>279</v>
      </c>
      <c r="E9" s="29"/>
      <c r="F9" s="60" t="s">
        <v>22</v>
      </c>
      <c r="G9" s="31"/>
      <c r="H9" s="29">
        <v>394</v>
      </c>
      <c r="I9" s="29">
        <v>8</v>
      </c>
      <c r="J9" s="29"/>
      <c r="K9" s="29">
        <v>500</v>
      </c>
      <c r="L9" s="29">
        <v>0.79</v>
      </c>
      <c r="M9" s="29">
        <v>0.98</v>
      </c>
      <c r="N9" s="32">
        <f t="shared" si="0"/>
        <v>0.87480225988700566</v>
      </c>
      <c r="O9" s="33"/>
      <c r="P9" s="33"/>
      <c r="Q9" s="33"/>
      <c r="R9" s="5"/>
      <c r="S9" s="5"/>
      <c r="T9" s="5"/>
      <c r="U9" s="5"/>
      <c r="V9" s="5"/>
      <c r="W9" s="5"/>
      <c r="X9" s="5"/>
      <c r="Y9" s="5"/>
      <c r="Z9" s="5"/>
    </row>
    <row r="10" spans="1:26" ht="15.75" hidden="1" customHeight="1">
      <c r="A10" s="28">
        <v>1</v>
      </c>
      <c r="B10" s="28" t="s">
        <v>2</v>
      </c>
      <c r="C10" s="29" t="s">
        <v>278</v>
      </c>
      <c r="D10" s="29" t="s">
        <v>279</v>
      </c>
      <c r="E10" s="29"/>
      <c r="F10" s="30" t="s">
        <v>284</v>
      </c>
      <c r="G10" s="31"/>
      <c r="H10" s="29">
        <v>389</v>
      </c>
      <c r="I10" s="29">
        <v>2</v>
      </c>
      <c r="J10" s="29"/>
      <c r="K10" s="29">
        <v>500</v>
      </c>
      <c r="L10" s="29">
        <v>0.78</v>
      </c>
      <c r="M10" s="29">
        <v>0.99</v>
      </c>
      <c r="N10" s="32">
        <f t="shared" si="0"/>
        <v>0.87254237288135594</v>
      </c>
      <c r="O10" s="33"/>
      <c r="P10" s="33"/>
      <c r="Q10" s="33"/>
      <c r="R10" s="5"/>
      <c r="S10" s="5"/>
      <c r="T10" s="5"/>
      <c r="U10" s="5"/>
      <c r="V10" s="5"/>
      <c r="W10" s="5"/>
      <c r="X10" s="5"/>
      <c r="Y10" s="5"/>
      <c r="Z10" s="5"/>
    </row>
    <row r="11" spans="1:26" ht="15.75" hidden="1" customHeight="1">
      <c r="A11" s="28">
        <v>1</v>
      </c>
      <c r="B11" s="28" t="s">
        <v>2</v>
      </c>
      <c r="C11" s="29" t="s">
        <v>278</v>
      </c>
      <c r="D11" s="29" t="s">
        <v>279</v>
      </c>
      <c r="E11" s="29"/>
      <c r="F11" s="54" t="s">
        <v>13</v>
      </c>
      <c r="G11" s="31"/>
      <c r="H11" s="29">
        <v>387</v>
      </c>
      <c r="I11" s="29">
        <v>8</v>
      </c>
      <c r="J11" s="29"/>
      <c r="K11" s="29">
        <v>500</v>
      </c>
      <c r="L11" s="29">
        <v>0.77</v>
      </c>
      <c r="M11" s="29">
        <v>0.98</v>
      </c>
      <c r="N11" s="32">
        <f t="shared" si="0"/>
        <v>0.86240000000000006</v>
      </c>
      <c r="O11" s="33"/>
      <c r="P11" s="33"/>
      <c r="Q11" s="33"/>
      <c r="R11" s="5"/>
      <c r="S11" s="5"/>
      <c r="T11" s="5"/>
      <c r="U11" s="5"/>
      <c r="V11" s="5"/>
      <c r="W11" s="5"/>
      <c r="X11" s="5"/>
      <c r="Y11" s="5"/>
      <c r="Z11" s="5"/>
    </row>
    <row r="12" spans="1:26" ht="15.75" hidden="1" customHeight="1">
      <c r="A12" s="28">
        <v>1</v>
      </c>
      <c r="B12" s="28" t="s">
        <v>2</v>
      </c>
      <c r="C12" s="29" t="s">
        <v>278</v>
      </c>
      <c r="D12" s="29" t="s">
        <v>279</v>
      </c>
      <c r="E12" s="29"/>
      <c r="F12" s="30" t="s">
        <v>193</v>
      </c>
      <c r="G12" s="31"/>
      <c r="H12" s="29">
        <v>378</v>
      </c>
      <c r="I12" s="29">
        <v>4</v>
      </c>
      <c r="J12" s="29"/>
      <c r="K12" s="29">
        <v>500</v>
      </c>
      <c r="L12" s="29">
        <v>0.76</v>
      </c>
      <c r="M12" s="29">
        <v>0.99</v>
      </c>
      <c r="N12" s="32">
        <f t="shared" si="0"/>
        <v>0.85988571428571425</v>
      </c>
      <c r="O12" s="33"/>
      <c r="P12" s="33"/>
      <c r="Q12" s="33"/>
      <c r="R12" s="5"/>
      <c r="S12" s="5"/>
      <c r="T12" s="5"/>
      <c r="U12" s="5"/>
      <c r="V12" s="5"/>
      <c r="W12" s="5"/>
      <c r="X12" s="5"/>
      <c r="Y12" s="5"/>
      <c r="Z12" s="5"/>
    </row>
    <row r="13" spans="1:26" ht="15.75" hidden="1" customHeight="1">
      <c r="A13" s="28">
        <v>1</v>
      </c>
      <c r="B13" s="28" t="s">
        <v>2</v>
      </c>
      <c r="C13" s="29" t="s">
        <v>278</v>
      </c>
      <c r="D13" s="29" t="s">
        <v>279</v>
      </c>
      <c r="E13" s="29"/>
      <c r="F13" s="30" t="s">
        <v>25</v>
      </c>
      <c r="G13" s="31"/>
      <c r="H13" s="29">
        <v>363</v>
      </c>
      <c r="I13" s="29">
        <v>1</v>
      </c>
      <c r="J13" s="29"/>
      <c r="K13" s="29">
        <v>500</v>
      </c>
      <c r="L13" s="29">
        <v>0.73</v>
      </c>
      <c r="M13" s="29">
        <v>1</v>
      </c>
      <c r="N13" s="32">
        <f t="shared" si="0"/>
        <v>0.84393063583815031</v>
      </c>
      <c r="O13" s="33"/>
      <c r="P13" s="33"/>
      <c r="Q13" s="33"/>
      <c r="R13" s="5"/>
      <c r="S13" s="5"/>
      <c r="T13" s="5"/>
      <c r="U13" s="5"/>
      <c r="V13" s="5"/>
      <c r="W13" s="5"/>
      <c r="X13" s="5"/>
      <c r="Y13" s="5"/>
      <c r="Z13" s="5"/>
    </row>
    <row r="14" spans="1:26" ht="15.75" hidden="1" customHeight="1">
      <c r="A14" s="28">
        <v>1</v>
      </c>
      <c r="B14" s="28" t="s">
        <v>2</v>
      </c>
      <c r="C14" s="29" t="s">
        <v>278</v>
      </c>
      <c r="D14" s="29" t="s">
        <v>279</v>
      </c>
      <c r="E14" s="29"/>
      <c r="F14" s="52" t="s">
        <v>30</v>
      </c>
      <c r="G14" s="31"/>
      <c r="H14" s="29">
        <v>363</v>
      </c>
      <c r="I14" s="29">
        <v>3</v>
      </c>
      <c r="J14" s="29"/>
      <c r="K14" s="29">
        <v>500</v>
      </c>
      <c r="L14" s="29">
        <v>0.73</v>
      </c>
      <c r="M14" s="29">
        <v>0.99</v>
      </c>
      <c r="N14" s="32">
        <f t="shared" si="0"/>
        <v>0.84034883720930231</v>
      </c>
      <c r="O14" s="33"/>
      <c r="P14" s="33"/>
      <c r="Q14" s="33"/>
      <c r="R14" s="5"/>
      <c r="S14" s="5"/>
      <c r="T14" s="5"/>
      <c r="U14" s="5"/>
      <c r="V14" s="5"/>
      <c r="W14" s="5"/>
      <c r="X14" s="5"/>
      <c r="Y14" s="5"/>
      <c r="Z14" s="5"/>
    </row>
    <row r="15" spans="1:26" ht="15.75" hidden="1" customHeight="1">
      <c r="A15" s="28">
        <v>1</v>
      </c>
      <c r="B15" s="28" t="s">
        <v>2</v>
      </c>
      <c r="C15" s="29" t="s">
        <v>278</v>
      </c>
      <c r="D15" s="29" t="s">
        <v>279</v>
      </c>
      <c r="E15" s="29"/>
      <c r="F15" s="30" t="s">
        <v>37</v>
      </c>
      <c r="G15" s="31"/>
      <c r="H15" s="29">
        <v>358</v>
      </c>
      <c r="I15" s="29">
        <v>2</v>
      </c>
      <c r="J15" s="29"/>
      <c r="K15" s="29">
        <v>500</v>
      </c>
      <c r="L15" s="29">
        <v>0.72</v>
      </c>
      <c r="M15" s="29">
        <v>0.99</v>
      </c>
      <c r="N15" s="32">
        <f t="shared" si="0"/>
        <v>0.83368421052631581</v>
      </c>
      <c r="O15" s="33"/>
      <c r="P15" s="33"/>
      <c r="Q15" s="33"/>
      <c r="R15" s="5"/>
      <c r="S15" s="5"/>
      <c r="T15" s="5"/>
      <c r="U15" s="5"/>
      <c r="V15" s="5"/>
      <c r="W15" s="5"/>
      <c r="X15" s="5"/>
      <c r="Y15" s="5"/>
      <c r="Z15" s="5"/>
    </row>
    <row r="16" spans="1:26" ht="15.75" hidden="1" customHeight="1">
      <c r="A16" s="28">
        <v>1</v>
      </c>
      <c r="B16" s="28" t="s">
        <v>2</v>
      </c>
      <c r="C16" s="29" t="s">
        <v>278</v>
      </c>
      <c r="D16" s="29" t="s">
        <v>279</v>
      </c>
      <c r="E16" s="29"/>
      <c r="F16" s="64" t="s">
        <v>21</v>
      </c>
      <c r="G16" s="31"/>
      <c r="H16" s="29">
        <v>416</v>
      </c>
      <c r="I16" s="29">
        <v>84</v>
      </c>
      <c r="J16" s="29"/>
      <c r="K16" s="29">
        <v>500</v>
      </c>
      <c r="L16" s="29">
        <v>0.83</v>
      </c>
      <c r="M16" s="29">
        <v>0.83</v>
      </c>
      <c r="N16" s="32">
        <f t="shared" si="0"/>
        <v>0.83</v>
      </c>
      <c r="O16" s="33"/>
      <c r="P16" s="33"/>
      <c r="Q16" s="33"/>
      <c r="R16" s="5"/>
      <c r="S16" s="5"/>
      <c r="T16" s="5"/>
      <c r="U16" s="5"/>
      <c r="V16" s="5"/>
      <c r="W16" s="5"/>
      <c r="X16" s="5"/>
      <c r="Y16" s="5"/>
      <c r="Z16" s="5"/>
    </row>
    <row r="17" spans="1:26" ht="15.75" hidden="1" customHeight="1">
      <c r="A17" s="28">
        <v>1</v>
      </c>
      <c r="B17" s="28" t="s">
        <v>2</v>
      </c>
      <c r="C17" s="29" t="s">
        <v>278</v>
      </c>
      <c r="D17" s="29" t="s">
        <v>279</v>
      </c>
      <c r="E17" s="29"/>
      <c r="F17" s="30" t="s">
        <v>107</v>
      </c>
      <c r="G17" s="31"/>
      <c r="H17" s="29">
        <v>360</v>
      </c>
      <c r="I17" s="29">
        <v>10</v>
      </c>
      <c r="J17" s="29"/>
      <c r="K17" s="29">
        <v>500</v>
      </c>
      <c r="L17" s="29">
        <v>0.72</v>
      </c>
      <c r="M17" s="29">
        <v>0.97</v>
      </c>
      <c r="N17" s="32">
        <f t="shared" si="0"/>
        <v>0.82650887573964493</v>
      </c>
      <c r="O17" s="33"/>
      <c r="P17" s="33"/>
      <c r="Q17" s="33"/>
      <c r="R17" s="5"/>
      <c r="S17" s="5"/>
      <c r="T17" s="5"/>
      <c r="U17" s="5"/>
      <c r="V17" s="5"/>
      <c r="W17" s="5"/>
      <c r="X17" s="5"/>
      <c r="Y17" s="5"/>
      <c r="Z17" s="5"/>
    </row>
    <row r="18" spans="1:26" ht="15.75" hidden="1" customHeight="1">
      <c r="A18" s="28">
        <v>1</v>
      </c>
      <c r="B18" s="28" t="s">
        <v>2</v>
      </c>
      <c r="C18" s="29" t="s">
        <v>278</v>
      </c>
      <c r="D18" s="29" t="s">
        <v>279</v>
      </c>
      <c r="E18" s="29"/>
      <c r="F18" s="3" t="s">
        <v>164</v>
      </c>
      <c r="G18" s="31"/>
      <c r="H18" s="29">
        <v>344</v>
      </c>
      <c r="I18" s="29">
        <v>2</v>
      </c>
      <c r="J18" s="29"/>
      <c r="K18" s="29">
        <v>500</v>
      </c>
      <c r="L18" s="29">
        <v>0.69</v>
      </c>
      <c r="M18" s="29">
        <v>0.99</v>
      </c>
      <c r="N18" s="32">
        <f t="shared" si="0"/>
        <v>0.81321428571428567</v>
      </c>
      <c r="O18" s="33"/>
      <c r="P18" s="33"/>
      <c r="Q18" s="33"/>
      <c r="R18" s="5"/>
      <c r="S18" s="5"/>
      <c r="T18" s="5"/>
      <c r="U18" s="5"/>
      <c r="V18" s="5"/>
      <c r="W18" s="5"/>
      <c r="X18" s="5"/>
      <c r="Y18" s="5"/>
      <c r="Z18" s="5"/>
    </row>
    <row r="19" spans="1:26" ht="15.75" hidden="1" customHeight="1">
      <c r="A19" s="28">
        <v>1</v>
      </c>
      <c r="B19" s="28" t="s">
        <v>2</v>
      </c>
      <c r="C19" s="29" t="s">
        <v>278</v>
      </c>
      <c r="D19" s="29" t="s">
        <v>279</v>
      </c>
      <c r="E19" s="29"/>
      <c r="F19" s="30" t="s">
        <v>40</v>
      </c>
      <c r="G19" s="31"/>
      <c r="H19" s="29">
        <v>332</v>
      </c>
      <c r="I19" s="29">
        <v>1</v>
      </c>
      <c r="J19" s="29"/>
      <c r="K19" s="29">
        <v>500</v>
      </c>
      <c r="L19" s="29">
        <v>0.66</v>
      </c>
      <c r="M19" s="29">
        <v>1</v>
      </c>
      <c r="N19" s="32">
        <f t="shared" si="0"/>
        <v>0.79518072289156627</v>
      </c>
      <c r="O19" s="33"/>
      <c r="P19" s="33"/>
      <c r="Q19" s="33"/>
      <c r="R19" s="5"/>
      <c r="S19" s="5"/>
      <c r="T19" s="5"/>
      <c r="U19" s="5"/>
      <c r="V19" s="5"/>
      <c r="W19" s="5"/>
      <c r="X19" s="5"/>
      <c r="Y19" s="5"/>
      <c r="Z19" s="5"/>
    </row>
    <row r="20" spans="1:26" ht="15.75" hidden="1" customHeight="1">
      <c r="A20" s="28">
        <v>1</v>
      </c>
      <c r="B20" s="28" t="s">
        <v>2</v>
      </c>
      <c r="C20" s="29" t="s">
        <v>278</v>
      </c>
      <c r="D20" s="29" t="s">
        <v>279</v>
      </c>
      <c r="E20" s="29"/>
      <c r="F20" s="30" t="s">
        <v>16</v>
      </c>
      <c r="G20" s="31"/>
      <c r="H20" s="29">
        <v>343</v>
      </c>
      <c r="I20" s="29">
        <v>31</v>
      </c>
      <c r="J20" s="29"/>
      <c r="K20" s="29">
        <v>500</v>
      </c>
      <c r="L20" s="29">
        <v>0.69</v>
      </c>
      <c r="M20" s="29">
        <v>0.92</v>
      </c>
      <c r="N20" s="32">
        <f t="shared" si="0"/>
        <v>0.7885714285714287</v>
      </c>
      <c r="O20" s="33"/>
      <c r="P20" s="33"/>
      <c r="Q20" s="33"/>
      <c r="R20" s="5"/>
      <c r="S20" s="5"/>
      <c r="T20" s="5"/>
      <c r="U20" s="5"/>
      <c r="V20" s="5"/>
      <c r="W20" s="5"/>
      <c r="X20" s="5"/>
      <c r="Y20" s="5"/>
      <c r="Z20" s="5"/>
    </row>
    <row r="21" spans="1:26" ht="15.75" hidden="1" customHeight="1">
      <c r="A21" s="28">
        <v>1</v>
      </c>
      <c r="B21" s="28" t="s">
        <v>2</v>
      </c>
      <c r="C21" s="29" t="s">
        <v>278</v>
      </c>
      <c r="D21" s="29" t="s">
        <v>279</v>
      </c>
      <c r="E21" s="29"/>
      <c r="F21" s="30" t="s">
        <v>288</v>
      </c>
      <c r="G21" s="31"/>
      <c r="H21" s="29">
        <v>333</v>
      </c>
      <c r="I21" s="29">
        <v>68</v>
      </c>
      <c r="J21" s="29"/>
      <c r="K21" s="29">
        <v>500</v>
      </c>
      <c r="L21" s="29">
        <v>0.67</v>
      </c>
      <c r="M21" s="29">
        <v>0.83</v>
      </c>
      <c r="N21" s="32">
        <f t="shared" si="0"/>
        <v>0.74146666666666672</v>
      </c>
      <c r="O21" s="33"/>
      <c r="P21" s="33"/>
      <c r="Q21" s="33"/>
      <c r="R21" s="5"/>
      <c r="S21" s="5"/>
      <c r="T21" s="5"/>
      <c r="U21" s="5"/>
      <c r="V21" s="5"/>
      <c r="W21" s="5"/>
      <c r="X21" s="5"/>
      <c r="Y21" s="5"/>
      <c r="Z21" s="5"/>
    </row>
    <row r="22" spans="1:26" ht="15.75" hidden="1" customHeight="1">
      <c r="A22" s="28">
        <v>1</v>
      </c>
      <c r="B22" s="28" t="s">
        <v>2</v>
      </c>
      <c r="C22" s="29" t="s">
        <v>278</v>
      </c>
      <c r="D22" s="29" t="s">
        <v>279</v>
      </c>
      <c r="E22" s="29"/>
      <c r="F22" s="30" t="s">
        <v>289</v>
      </c>
      <c r="G22" s="31"/>
      <c r="H22" s="29">
        <v>278</v>
      </c>
      <c r="I22" s="29">
        <v>1</v>
      </c>
      <c r="J22" s="29"/>
      <c r="K22" s="29">
        <v>500</v>
      </c>
      <c r="L22" s="29">
        <v>0.56000000000000005</v>
      </c>
      <c r="M22" s="29">
        <v>1</v>
      </c>
      <c r="N22" s="32">
        <f t="shared" si="0"/>
        <v>0.71794871794871795</v>
      </c>
      <c r="O22" s="33"/>
      <c r="P22" s="33"/>
      <c r="Q22" s="33"/>
      <c r="R22" s="5"/>
      <c r="S22" s="5"/>
      <c r="T22" s="5"/>
      <c r="U22" s="5"/>
      <c r="V22" s="5"/>
      <c r="W22" s="5"/>
      <c r="X22" s="5"/>
      <c r="Y22" s="5"/>
      <c r="Z22" s="5"/>
    </row>
    <row r="23" spans="1:26" ht="15.75" hidden="1" customHeight="1">
      <c r="A23" s="28">
        <v>1</v>
      </c>
      <c r="B23" s="28" t="s">
        <v>2</v>
      </c>
      <c r="C23" s="29" t="s">
        <v>278</v>
      </c>
      <c r="D23" s="29" t="s">
        <v>279</v>
      </c>
      <c r="E23" s="29"/>
      <c r="F23" s="30" t="s">
        <v>23</v>
      </c>
      <c r="G23" s="31"/>
      <c r="H23" s="29">
        <v>281</v>
      </c>
      <c r="I23" s="29">
        <v>2</v>
      </c>
      <c r="J23" s="29"/>
      <c r="K23" s="29">
        <v>500</v>
      </c>
      <c r="L23" s="29">
        <v>0.56000000000000005</v>
      </c>
      <c r="M23" s="29">
        <v>0.99</v>
      </c>
      <c r="N23" s="32">
        <f t="shared" si="0"/>
        <v>0.71535483870967742</v>
      </c>
      <c r="O23" s="33"/>
      <c r="P23" s="33"/>
      <c r="Q23" s="33"/>
      <c r="R23" s="5"/>
      <c r="S23" s="5"/>
      <c r="T23" s="5"/>
      <c r="U23" s="5"/>
      <c r="V23" s="5"/>
      <c r="W23" s="5"/>
      <c r="X23" s="5"/>
      <c r="Y23" s="5"/>
      <c r="Z23" s="5"/>
    </row>
    <row r="24" spans="1:26" ht="15.75" hidden="1" customHeight="1">
      <c r="A24" s="28">
        <v>1</v>
      </c>
      <c r="B24" s="28" t="s">
        <v>2</v>
      </c>
      <c r="C24" s="29" t="s">
        <v>278</v>
      </c>
      <c r="D24" s="29" t="s">
        <v>279</v>
      </c>
      <c r="E24" s="29"/>
      <c r="F24" s="30" t="s">
        <v>39</v>
      </c>
      <c r="G24" s="31"/>
      <c r="H24" s="29">
        <v>200</v>
      </c>
      <c r="I24" s="29">
        <v>2</v>
      </c>
      <c r="J24" s="29"/>
      <c r="K24" s="29">
        <v>500</v>
      </c>
      <c r="L24" s="29">
        <v>0.4</v>
      </c>
      <c r="M24" s="29">
        <v>0.99</v>
      </c>
      <c r="N24" s="32">
        <f t="shared" si="0"/>
        <v>0.56978417266187043</v>
      </c>
      <c r="O24" s="33"/>
      <c r="P24" s="33"/>
      <c r="Q24" s="33"/>
      <c r="R24" s="5"/>
      <c r="S24" s="5"/>
      <c r="T24" s="5"/>
      <c r="U24" s="5"/>
      <c r="V24" s="5"/>
      <c r="W24" s="5"/>
      <c r="X24" s="5"/>
      <c r="Y24" s="5"/>
      <c r="Z24" s="5"/>
    </row>
    <row r="25" spans="1:26" ht="15.75" hidden="1" customHeight="1">
      <c r="A25" s="28">
        <v>1</v>
      </c>
      <c r="B25" s="28" t="s">
        <v>2</v>
      </c>
      <c r="C25" s="29" t="s">
        <v>278</v>
      </c>
      <c r="D25" s="29" t="s">
        <v>279</v>
      </c>
      <c r="E25" s="29"/>
      <c r="F25" s="30" t="s">
        <v>88</v>
      </c>
      <c r="G25" s="31"/>
      <c r="H25" s="29">
        <v>183</v>
      </c>
      <c r="I25" s="29">
        <v>5</v>
      </c>
      <c r="J25" s="29"/>
      <c r="K25" s="29">
        <v>500</v>
      </c>
      <c r="L25" s="29">
        <v>0.37</v>
      </c>
      <c r="M25" s="29">
        <v>0.97</v>
      </c>
      <c r="N25" s="32">
        <f t="shared" si="0"/>
        <v>0.53567164179104487</v>
      </c>
      <c r="O25" s="33"/>
      <c r="P25" s="33"/>
      <c r="Q25" s="33"/>
      <c r="R25" s="5"/>
      <c r="S25" s="5"/>
      <c r="T25" s="5"/>
      <c r="U25" s="5"/>
      <c r="V25" s="5"/>
      <c r="W25" s="5"/>
      <c r="X25" s="5"/>
      <c r="Y25" s="5"/>
      <c r="Z25" s="5"/>
    </row>
    <row r="26" spans="1:26" ht="15.75" hidden="1" customHeight="1">
      <c r="A26" s="28">
        <v>1</v>
      </c>
      <c r="B26" s="28" t="s">
        <v>2</v>
      </c>
      <c r="C26" s="29" t="s">
        <v>290</v>
      </c>
      <c r="D26" s="29" t="s">
        <v>279</v>
      </c>
      <c r="E26" s="231" t="s">
        <v>291</v>
      </c>
      <c r="F26" s="30" t="s">
        <v>19</v>
      </c>
      <c r="G26" s="31"/>
      <c r="H26" s="34">
        <v>2339</v>
      </c>
      <c r="I26" s="29">
        <v>10</v>
      </c>
      <c r="J26" s="29"/>
      <c r="K26" s="29">
        <v>2500</v>
      </c>
      <c r="L26" s="29">
        <v>0.94</v>
      </c>
      <c r="M26" s="29">
        <v>1</v>
      </c>
      <c r="N26" s="32">
        <f t="shared" si="0"/>
        <v>0.96907216494845361</v>
      </c>
      <c r="O26" s="33"/>
      <c r="P26" s="33"/>
      <c r="Q26" s="33"/>
      <c r="R26" s="5">
        <v>161</v>
      </c>
      <c r="S26" s="5"/>
      <c r="T26" s="5"/>
      <c r="U26" s="5"/>
      <c r="V26" s="5"/>
      <c r="W26" s="5"/>
      <c r="X26" s="5"/>
      <c r="Y26" s="5"/>
      <c r="Z26" s="5"/>
    </row>
    <row r="27" spans="1:26" ht="15.75" hidden="1" customHeight="1">
      <c r="A27" s="28">
        <v>1</v>
      </c>
      <c r="B27" s="28" t="s">
        <v>2</v>
      </c>
      <c r="C27" s="29" t="s">
        <v>290</v>
      </c>
      <c r="D27" s="29" t="s">
        <v>279</v>
      </c>
      <c r="E27" s="229"/>
      <c r="F27" s="69" t="s">
        <v>14</v>
      </c>
      <c r="G27" s="35"/>
      <c r="H27" s="36">
        <v>2335</v>
      </c>
      <c r="I27" s="37">
        <v>53</v>
      </c>
      <c r="J27" s="37"/>
      <c r="K27" s="37">
        <v>2500</v>
      </c>
      <c r="L27" s="37">
        <v>0.93</v>
      </c>
      <c r="M27" s="37">
        <v>0.98</v>
      </c>
      <c r="N27" s="38">
        <f t="shared" si="0"/>
        <v>0.95434554973821983</v>
      </c>
      <c r="O27" s="33"/>
      <c r="P27" s="33"/>
      <c r="Q27" s="33"/>
      <c r="R27" s="5"/>
      <c r="S27" s="5"/>
      <c r="T27" s="5"/>
      <c r="U27" s="5"/>
      <c r="V27" s="5"/>
      <c r="W27" s="5"/>
      <c r="X27" s="5"/>
      <c r="Y27" s="5"/>
      <c r="Z27" s="5"/>
    </row>
    <row r="28" spans="1:26" ht="15.75" hidden="1" customHeight="1">
      <c r="A28" s="28">
        <v>1</v>
      </c>
      <c r="B28" s="28" t="s">
        <v>2</v>
      </c>
      <c r="C28" s="29" t="s">
        <v>290</v>
      </c>
      <c r="D28" s="29" t="s">
        <v>279</v>
      </c>
      <c r="E28" s="229"/>
      <c r="F28" s="39" t="s">
        <v>281</v>
      </c>
      <c r="G28" s="40"/>
      <c r="H28" s="41">
        <v>2293</v>
      </c>
      <c r="I28" s="42">
        <v>45</v>
      </c>
      <c r="J28" s="42"/>
      <c r="K28" s="42">
        <v>2500</v>
      </c>
      <c r="L28" s="42">
        <v>0.92</v>
      </c>
      <c r="M28" s="42">
        <v>0.98</v>
      </c>
      <c r="N28" s="43">
        <f t="shared" si="0"/>
        <v>0.94905263157894748</v>
      </c>
      <c r="O28" s="33"/>
      <c r="P28" s="33"/>
      <c r="Q28" s="33"/>
      <c r="R28" s="5"/>
      <c r="S28" s="5"/>
      <c r="T28" s="5"/>
      <c r="U28" s="5"/>
      <c r="V28" s="5"/>
      <c r="W28" s="5"/>
      <c r="X28" s="5"/>
      <c r="Y28" s="5"/>
      <c r="Z28" s="5"/>
    </row>
    <row r="29" spans="1:26" ht="15.75" hidden="1" customHeight="1">
      <c r="A29" s="28">
        <v>1</v>
      </c>
      <c r="B29" s="28" t="s">
        <v>2</v>
      </c>
      <c r="C29" s="29" t="s">
        <v>290</v>
      </c>
      <c r="D29" s="29" t="s">
        <v>279</v>
      </c>
      <c r="E29" s="229"/>
      <c r="F29" s="95" t="s">
        <v>197</v>
      </c>
      <c r="G29" s="31"/>
      <c r="H29" s="34">
        <v>2266</v>
      </c>
      <c r="I29" s="29">
        <v>129</v>
      </c>
      <c r="J29" s="29"/>
      <c r="K29" s="29">
        <v>2500</v>
      </c>
      <c r="L29" s="29">
        <v>0.91</v>
      </c>
      <c r="M29" s="29">
        <v>0.95</v>
      </c>
      <c r="N29" s="32">
        <f t="shared" si="0"/>
        <v>0.92956989247311828</v>
      </c>
      <c r="O29" s="33"/>
      <c r="P29" s="33"/>
      <c r="Q29" s="33"/>
      <c r="R29" s="5"/>
      <c r="S29" s="5"/>
      <c r="T29" s="5"/>
      <c r="U29" s="5"/>
      <c r="V29" s="5"/>
      <c r="W29" s="5"/>
      <c r="X29" s="5"/>
      <c r="Y29" s="5"/>
      <c r="Z29" s="5"/>
    </row>
    <row r="30" spans="1:26" ht="15.75" customHeight="1">
      <c r="A30" s="28">
        <v>1</v>
      </c>
      <c r="B30" s="28" t="s">
        <v>2</v>
      </c>
      <c r="C30" s="29" t="s">
        <v>290</v>
      </c>
      <c r="D30" s="29" t="s">
        <v>279</v>
      </c>
      <c r="E30" s="229"/>
      <c r="F30" s="86" t="s">
        <v>99</v>
      </c>
      <c r="G30" s="31"/>
      <c r="H30" s="34">
        <v>2116</v>
      </c>
      <c r="I30" s="29">
        <v>30</v>
      </c>
      <c r="J30" s="29"/>
      <c r="K30" s="29">
        <v>2500</v>
      </c>
      <c r="L30" s="29">
        <v>0.85</v>
      </c>
      <c r="M30" s="29">
        <v>0.99</v>
      </c>
      <c r="N30" s="32">
        <f t="shared" si="0"/>
        <v>0.91467391304347834</v>
      </c>
      <c r="O30" s="33"/>
      <c r="P30" s="33"/>
      <c r="Q30" s="33"/>
      <c r="R30" s="5"/>
      <c r="S30" s="5"/>
      <c r="T30" s="5"/>
      <c r="U30" s="5"/>
      <c r="V30" s="5"/>
      <c r="W30" s="5"/>
      <c r="X30" s="5"/>
      <c r="Y30" s="5"/>
      <c r="Z30" s="5"/>
    </row>
    <row r="31" spans="1:26" ht="15.75" hidden="1" customHeight="1">
      <c r="A31" s="28">
        <v>1</v>
      </c>
      <c r="B31" s="28" t="s">
        <v>2</v>
      </c>
      <c r="C31" s="29" t="s">
        <v>290</v>
      </c>
      <c r="D31" s="29" t="s">
        <v>279</v>
      </c>
      <c r="E31" s="229"/>
      <c r="F31" s="57" t="s">
        <v>82</v>
      </c>
      <c r="G31" s="31"/>
      <c r="H31" s="34">
        <v>2170</v>
      </c>
      <c r="I31" s="29">
        <v>94</v>
      </c>
      <c r="J31" s="29"/>
      <c r="K31" s="29">
        <v>2500</v>
      </c>
      <c r="L31" s="29">
        <v>0.87</v>
      </c>
      <c r="M31" s="29">
        <v>0.96</v>
      </c>
      <c r="N31" s="32">
        <f t="shared" si="0"/>
        <v>0.91278688524590157</v>
      </c>
      <c r="O31" s="33"/>
      <c r="P31" s="33"/>
      <c r="Q31" s="33"/>
      <c r="R31" s="5"/>
      <c r="S31" s="5"/>
      <c r="T31" s="5"/>
      <c r="U31" s="5"/>
      <c r="V31" s="5"/>
      <c r="W31" s="5"/>
      <c r="X31" s="5"/>
      <c r="Y31" s="5"/>
      <c r="Z31" s="5"/>
    </row>
    <row r="32" spans="1:26" ht="15.75" hidden="1" customHeight="1">
      <c r="A32" s="28">
        <v>1</v>
      </c>
      <c r="B32" s="28" t="s">
        <v>2</v>
      </c>
      <c r="C32" s="29" t="s">
        <v>290</v>
      </c>
      <c r="D32" s="29" t="s">
        <v>279</v>
      </c>
      <c r="E32" s="229"/>
      <c r="F32" s="30" t="s">
        <v>282</v>
      </c>
      <c r="G32" s="31"/>
      <c r="H32" s="34">
        <v>2146</v>
      </c>
      <c r="I32" s="29">
        <v>56</v>
      </c>
      <c r="J32" s="29"/>
      <c r="K32" s="29">
        <v>2500</v>
      </c>
      <c r="L32" s="29">
        <v>0.86</v>
      </c>
      <c r="M32" s="29">
        <v>0.97</v>
      </c>
      <c r="N32" s="32">
        <f t="shared" si="0"/>
        <v>0.91169398907103816</v>
      </c>
      <c r="O32" s="33"/>
      <c r="P32" s="33"/>
      <c r="Q32" s="33"/>
      <c r="R32" s="5"/>
      <c r="S32" s="5"/>
      <c r="T32" s="5"/>
      <c r="U32" s="5"/>
      <c r="V32" s="5"/>
      <c r="W32" s="5"/>
      <c r="X32" s="5"/>
      <c r="Y32" s="5"/>
      <c r="Z32" s="5"/>
    </row>
    <row r="33" spans="1:26" ht="15.75" hidden="1" customHeight="1">
      <c r="A33" s="28">
        <v>1</v>
      </c>
      <c r="B33" s="28" t="s">
        <v>2</v>
      </c>
      <c r="C33" s="29" t="s">
        <v>290</v>
      </c>
      <c r="D33" s="29" t="s">
        <v>279</v>
      </c>
      <c r="E33" s="229"/>
      <c r="F33" s="30" t="s">
        <v>193</v>
      </c>
      <c r="G33" s="31"/>
      <c r="H33" s="34">
        <v>2068</v>
      </c>
      <c r="I33" s="29">
        <v>17</v>
      </c>
      <c r="J33" s="29"/>
      <c r="K33" s="29">
        <v>2500</v>
      </c>
      <c r="L33" s="29">
        <v>0.83</v>
      </c>
      <c r="M33" s="29">
        <v>0.99</v>
      </c>
      <c r="N33" s="32">
        <f t="shared" si="0"/>
        <v>0.90296703296703307</v>
      </c>
      <c r="O33" s="33"/>
      <c r="P33" s="33"/>
      <c r="Q33" s="33"/>
      <c r="R33" s="5"/>
      <c r="S33" s="5"/>
      <c r="T33" s="5"/>
      <c r="U33" s="5"/>
      <c r="V33" s="5"/>
      <c r="W33" s="5"/>
      <c r="X33" s="5"/>
      <c r="Y33" s="5"/>
      <c r="Z33" s="5"/>
    </row>
    <row r="34" spans="1:26" ht="15.75" hidden="1" customHeight="1">
      <c r="A34" s="28">
        <v>1</v>
      </c>
      <c r="B34" s="28" t="s">
        <v>2</v>
      </c>
      <c r="C34" s="29" t="s">
        <v>290</v>
      </c>
      <c r="D34" s="29" t="s">
        <v>279</v>
      </c>
      <c r="E34" s="229"/>
      <c r="F34" s="54" t="s">
        <v>13</v>
      </c>
      <c r="G34" s="35"/>
      <c r="H34" s="36">
        <v>2075</v>
      </c>
      <c r="I34" s="37">
        <v>38</v>
      </c>
      <c r="J34" s="37"/>
      <c r="K34" s="37">
        <v>2500</v>
      </c>
      <c r="L34" s="37">
        <v>0.83</v>
      </c>
      <c r="M34" s="37">
        <v>0.98</v>
      </c>
      <c r="N34" s="38">
        <f t="shared" si="0"/>
        <v>0.89878453038674022</v>
      </c>
      <c r="O34" s="33"/>
      <c r="P34" s="33"/>
      <c r="Q34" s="33"/>
      <c r="R34" s="5"/>
      <c r="S34" s="5"/>
      <c r="T34" s="5"/>
      <c r="U34" s="5"/>
      <c r="V34" s="5"/>
      <c r="W34" s="5"/>
      <c r="X34" s="5"/>
      <c r="Y34" s="5"/>
      <c r="Z34" s="5"/>
    </row>
    <row r="35" spans="1:26" ht="15.75" hidden="1" customHeight="1">
      <c r="A35" s="28">
        <v>1</v>
      </c>
      <c r="B35" s="28" t="s">
        <v>2</v>
      </c>
      <c r="C35" s="29" t="s">
        <v>290</v>
      </c>
      <c r="D35" s="29" t="s">
        <v>279</v>
      </c>
      <c r="E35" s="229"/>
      <c r="F35" s="30" t="s">
        <v>284</v>
      </c>
      <c r="G35" s="31"/>
      <c r="H35" s="34">
        <v>2034</v>
      </c>
      <c r="I35" s="29">
        <v>15</v>
      </c>
      <c r="J35" s="29"/>
      <c r="K35" s="29">
        <v>2500</v>
      </c>
      <c r="L35" s="29">
        <v>0.81</v>
      </c>
      <c r="M35" s="29">
        <v>0.99</v>
      </c>
      <c r="N35" s="32">
        <f t="shared" si="0"/>
        <v>0.89100000000000001</v>
      </c>
      <c r="O35" s="33"/>
      <c r="P35" s="33"/>
      <c r="Q35" s="33"/>
      <c r="R35" s="5"/>
      <c r="S35" s="5"/>
      <c r="T35" s="5"/>
      <c r="U35" s="5"/>
      <c r="V35" s="5"/>
      <c r="W35" s="5"/>
      <c r="X35" s="5"/>
      <c r="Y35" s="5"/>
      <c r="Z35" s="5"/>
    </row>
    <row r="36" spans="1:26" ht="15.75" hidden="1" customHeight="1">
      <c r="A36" s="28">
        <v>1</v>
      </c>
      <c r="B36" s="28" t="s">
        <v>2</v>
      </c>
      <c r="C36" s="29" t="s">
        <v>290</v>
      </c>
      <c r="D36" s="29" t="s">
        <v>279</v>
      </c>
      <c r="E36" s="229"/>
      <c r="F36" s="60" t="s">
        <v>22</v>
      </c>
      <c r="G36" s="31"/>
      <c r="H36" s="34">
        <v>2064</v>
      </c>
      <c r="I36" s="29">
        <v>78</v>
      </c>
      <c r="J36" s="29"/>
      <c r="K36" s="29">
        <v>2500</v>
      </c>
      <c r="L36" s="29">
        <v>0.83</v>
      </c>
      <c r="M36" s="29">
        <v>0.96</v>
      </c>
      <c r="N36" s="32">
        <f t="shared" si="0"/>
        <v>0.89027932960893852</v>
      </c>
      <c r="O36" s="33"/>
      <c r="P36" s="33"/>
      <c r="Q36" s="33"/>
      <c r="R36" s="5"/>
      <c r="S36" s="5"/>
      <c r="T36" s="5"/>
      <c r="U36" s="5"/>
      <c r="V36" s="5"/>
      <c r="W36" s="5"/>
      <c r="X36" s="5"/>
      <c r="Y36" s="5"/>
      <c r="Z36" s="5"/>
    </row>
    <row r="37" spans="1:26" ht="15.75" hidden="1" customHeight="1">
      <c r="A37" s="28">
        <v>1</v>
      </c>
      <c r="B37" s="28" t="s">
        <v>2</v>
      </c>
      <c r="C37" s="29" t="s">
        <v>290</v>
      </c>
      <c r="D37" s="29" t="s">
        <v>279</v>
      </c>
      <c r="E37" s="229"/>
      <c r="F37" s="52" t="s">
        <v>30</v>
      </c>
      <c r="G37" s="31"/>
      <c r="H37" s="34">
        <v>2004</v>
      </c>
      <c r="I37" s="29">
        <v>10</v>
      </c>
      <c r="J37" s="29"/>
      <c r="K37" s="29">
        <v>2500</v>
      </c>
      <c r="L37" s="29">
        <v>0.8</v>
      </c>
      <c r="M37" s="29">
        <v>1</v>
      </c>
      <c r="N37" s="32">
        <f t="shared" si="0"/>
        <v>0.88888888888888895</v>
      </c>
      <c r="O37" s="33"/>
      <c r="P37" s="33"/>
      <c r="Q37" s="33"/>
      <c r="R37" s="5"/>
      <c r="S37" s="5"/>
      <c r="T37" s="5"/>
      <c r="U37" s="5"/>
      <c r="V37" s="5"/>
      <c r="W37" s="5"/>
      <c r="X37" s="5"/>
      <c r="Y37" s="5"/>
      <c r="Z37" s="5"/>
    </row>
    <row r="38" spans="1:26" ht="15.75" hidden="1" customHeight="1">
      <c r="A38" s="28">
        <v>1</v>
      </c>
      <c r="B38" s="28" t="s">
        <v>2</v>
      </c>
      <c r="C38" s="29" t="s">
        <v>290</v>
      </c>
      <c r="D38" s="29" t="s">
        <v>279</v>
      </c>
      <c r="E38" s="229"/>
      <c r="F38" s="30" t="s">
        <v>25</v>
      </c>
      <c r="G38" s="31"/>
      <c r="H38" s="34">
        <v>1967</v>
      </c>
      <c r="I38" s="29">
        <v>6</v>
      </c>
      <c r="J38" s="29"/>
      <c r="K38" s="29">
        <v>2500</v>
      </c>
      <c r="L38" s="29">
        <v>0.79</v>
      </c>
      <c r="M38" s="29">
        <v>1</v>
      </c>
      <c r="N38" s="32">
        <f t="shared" si="0"/>
        <v>0.88268156424581012</v>
      </c>
      <c r="O38" s="33"/>
      <c r="P38" s="33"/>
      <c r="Q38" s="33"/>
      <c r="R38" s="5"/>
      <c r="S38" s="5"/>
      <c r="T38" s="5"/>
      <c r="U38" s="5"/>
      <c r="V38" s="5"/>
      <c r="W38" s="5"/>
      <c r="X38" s="5"/>
      <c r="Y38" s="5"/>
      <c r="Z38" s="5"/>
    </row>
    <row r="39" spans="1:26" ht="15.75" hidden="1" customHeight="1">
      <c r="A39" s="28">
        <v>1</v>
      </c>
      <c r="B39" s="28" t="s">
        <v>2</v>
      </c>
      <c r="C39" s="29" t="s">
        <v>290</v>
      </c>
      <c r="D39" s="29" t="s">
        <v>279</v>
      </c>
      <c r="E39" s="229"/>
      <c r="F39" s="30" t="s">
        <v>37</v>
      </c>
      <c r="G39" s="31"/>
      <c r="H39" s="34">
        <v>1963</v>
      </c>
      <c r="I39" s="29">
        <v>12</v>
      </c>
      <c r="J39" s="29"/>
      <c r="K39" s="29">
        <v>2500</v>
      </c>
      <c r="L39" s="29">
        <v>0.79</v>
      </c>
      <c r="M39" s="29">
        <v>0.99</v>
      </c>
      <c r="N39" s="32">
        <f t="shared" si="0"/>
        <v>0.87876404494382021</v>
      </c>
      <c r="O39" s="33"/>
      <c r="P39" s="33"/>
      <c r="Q39" s="33"/>
      <c r="R39" s="5"/>
      <c r="S39" s="5"/>
      <c r="T39" s="5"/>
      <c r="U39" s="5"/>
      <c r="V39" s="5"/>
      <c r="W39" s="5"/>
      <c r="X39" s="5"/>
      <c r="Y39" s="5"/>
      <c r="Z39" s="5"/>
    </row>
    <row r="40" spans="1:26" ht="15.75" hidden="1" customHeight="1">
      <c r="A40" s="28">
        <v>1</v>
      </c>
      <c r="B40" s="28" t="s">
        <v>2</v>
      </c>
      <c r="C40" s="29" t="s">
        <v>290</v>
      </c>
      <c r="D40" s="29" t="s">
        <v>279</v>
      </c>
      <c r="E40" s="229"/>
      <c r="F40" s="30" t="s">
        <v>23</v>
      </c>
      <c r="G40" s="31"/>
      <c r="H40" s="34">
        <v>1953</v>
      </c>
      <c r="I40" s="29">
        <v>5</v>
      </c>
      <c r="J40" s="29"/>
      <c r="K40" s="29">
        <v>2500</v>
      </c>
      <c r="L40" s="29">
        <v>0.78</v>
      </c>
      <c r="M40" s="29">
        <v>1</v>
      </c>
      <c r="N40" s="32">
        <f t="shared" si="0"/>
        <v>0.8764044943820225</v>
      </c>
      <c r="O40" s="33"/>
      <c r="P40" s="33"/>
      <c r="Q40" s="33"/>
      <c r="R40" s="5"/>
      <c r="S40" s="5"/>
      <c r="T40" s="5"/>
      <c r="U40" s="5"/>
      <c r="V40" s="5"/>
      <c r="W40" s="5"/>
      <c r="X40" s="5"/>
      <c r="Y40" s="5"/>
      <c r="Z40" s="5"/>
    </row>
    <row r="41" spans="1:26" ht="15.75" hidden="1" customHeight="1">
      <c r="A41" s="28">
        <v>1</v>
      </c>
      <c r="B41" s="28" t="s">
        <v>2</v>
      </c>
      <c r="C41" s="29" t="s">
        <v>290</v>
      </c>
      <c r="D41" s="29" t="s">
        <v>279</v>
      </c>
      <c r="E41" s="229"/>
      <c r="F41" s="30" t="s">
        <v>40</v>
      </c>
      <c r="G41" s="31"/>
      <c r="H41" s="34">
        <v>1892</v>
      </c>
      <c r="I41" s="29">
        <v>11</v>
      </c>
      <c r="J41" s="29"/>
      <c r="K41" s="29">
        <v>2500</v>
      </c>
      <c r="L41" s="29">
        <v>0.76</v>
      </c>
      <c r="M41" s="29">
        <v>0.99</v>
      </c>
      <c r="N41" s="32">
        <f t="shared" si="0"/>
        <v>0.85988571428571425</v>
      </c>
      <c r="O41" s="33"/>
      <c r="P41" s="33"/>
      <c r="Q41" s="33"/>
      <c r="R41" s="5"/>
      <c r="S41" s="5"/>
      <c r="T41" s="5"/>
      <c r="U41" s="5"/>
      <c r="V41" s="5"/>
      <c r="W41" s="5"/>
      <c r="X41" s="5"/>
      <c r="Y41" s="5"/>
      <c r="Z41" s="5"/>
    </row>
    <row r="42" spans="1:26" ht="15.75" hidden="1" customHeight="1">
      <c r="A42" s="28">
        <v>1</v>
      </c>
      <c r="B42" s="28" t="s">
        <v>2</v>
      </c>
      <c r="C42" s="29" t="s">
        <v>290</v>
      </c>
      <c r="D42" s="29" t="s">
        <v>279</v>
      </c>
      <c r="E42" s="229"/>
      <c r="F42" s="64" t="s">
        <v>21</v>
      </c>
      <c r="G42" s="31"/>
      <c r="H42" s="34">
        <v>2094</v>
      </c>
      <c r="I42" s="29">
        <v>342</v>
      </c>
      <c r="J42" s="29"/>
      <c r="K42" s="29">
        <v>2500</v>
      </c>
      <c r="L42" s="29">
        <v>0.84</v>
      </c>
      <c r="M42" s="29">
        <v>0.86</v>
      </c>
      <c r="N42" s="32">
        <f t="shared" si="0"/>
        <v>0.84988235294117642</v>
      </c>
      <c r="O42" s="33"/>
      <c r="P42" s="33"/>
      <c r="Q42" s="33"/>
      <c r="R42" s="5"/>
      <c r="S42" s="5"/>
      <c r="T42" s="5"/>
      <c r="U42" s="5"/>
      <c r="V42" s="5"/>
      <c r="W42" s="5"/>
      <c r="X42" s="5"/>
      <c r="Y42" s="5"/>
      <c r="Z42" s="5"/>
    </row>
    <row r="43" spans="1:26" ht="15.75" hidden="1" customHeight="1">
      <c r="A43" s="28">
        <v>1</v>
      </c>
      <c r="B43" s="28" t="s">
        <v>2</v>
      </c>
      <c r="C43" s="29" t="s">
        <v>290</v>
      </c>
      <c r="D43" s="29" t="s">
        <v>279</v>
      </c>
      <c r="E43" s="229"/>
      <c r="F43" s="30" t="s">
        <v>107</v>
      </c>
      <c r="G43" s="31"/>
      <c r="H43" s="29">
        <v>1831</v>
      </c>
      <c r="I43" s="29">
        <v>54</v>
      </c>
      <c r="J43" s="29"/>
      <c r="K43" s="29">
        <v>2500</v>
      </c>
      <c r="L43" s="29">
        <v>0.73</v>
      </c>
      <c r="M43" s="29">
        <v>0.97</v>
      </c>
      <c r="N43" s="32">
        <f t="shared" si="0"/>
        <v>0.83305882352941174</v>
      </c>
      <c r="O43" s="33"/>
      <c r="P43" s="33"/>
      <c r="Q43" s="33"/>
      <c r="R43" s="5"/>
      <c r="S43" s="5"/>
      <c r="T43" s="5"/>
      <c r="U43" s="5"/>
      <c r="V43" s="5"/>
      <c r="W43" s="5"/>
      <c r="X43" s="5"/>
      <c r="Y43" s="5"/>
      <c r="Z43" s="5"/>
    </row>
    <row r="44" spans="1:26" ht="15.75" hidden="1" customHeight="1">
      <c r="A44" s="28">
        <v>1</v>
      </c>
      <c r="B44" s="28" t="s">
        <v>2</v>
      </c>
      <c r="C44" s="29" t="s">
        <v>290</v>
      </c>
      <c r="D44" s="29" t="s">
        <v>279</v>
      </c>
      <c r="E44" s="229"/>
      <c r="F44" s="3" t="s">
        <v>164</v>
      </c>
      <c r="G44" s="31"/>
      <c r="H44" s="5">
        <v>1769</v>
      </c>
      <c r="I44" s="5">
        <v>21</v>
      </c>
      <c r="J44" s="29"/>
      <c r="K44" s="29">
        <v>2500</v>
      </c>
      <c r="L44" s="29">
        <v>0.71</v>
      </c>
      <c r="M44" s="29">
        <v>0.99</v>
      </c>
      <c r="N44" s="32">
        <f t="shared" si="0"/>
        <v>0.82694117647058818</v>
      </c>
      <c r="O44" s="33"/>
      <c r="P44" s="33"/>
      <c r="Q44" s="33"/>
      <c r="R44" s="5"/>
      <c r="S44" s="5"/>
      <c r="T44" s="5"/>
      <c r="U44" s="5"/>
      <c r="V44" s="5"/>
      <c r="W44" s="5"/>
      <c r="X44" s="5"/>
      <c r="Y44" s="5"/>
      <c r="Z44" s="5"/>
    </row>
    <row r="45" spans="1:26" ht="15.75" hidden="1" customHeight="1">
      <c r="A45" s="28">
        <v>1</v>
      </c>
      <c r="B45" s="28" t="s">
        <v>2</v>
      </c>
      <c r="C45" s="29" t="s">
        <v>290</v>
      </c>
      <c r="D45" s="29" t="s">
        <v>279</v>
      </c>
      <c r="E45" s="229"/>
      <c r="F45" s="30" t="s">
        <v>16</v>
      </c>
      <c r="G45" s="31"/>
      <c r="H45" s="34">
        <v>1791</v>
      </c>
      <c r="I45" s="29">
        <v>201</v>
      </c>
      <c r="J45" s="29"/>
      <c r="K45" s="29">
        <v>2500</v>
      </c>
      <c r="L45" s="29">
        <v>0.72</v>
      </c>
      <c r="M45" s="29">
        <v>0.9</v>
      </c>
      <c r="N45" s="32">
        <f t="shared" si="0"/>
        <v>0.79999999999999993</v>
      </c>
      <c r="O45" s="33"/>
      <c r="P45" s="33"/>
      <c r="Q45" s="33"/>
      <c r="R45" s="5"/>
      <c r="S45" s="5"/>
      <c r="T45" s="5"/>
      <c r="U45" s="5"/>
      <c r="V45" s="5"/>
      <c r="W45" s="5"/>
      <c r="X45" s="5"/>
      <c r="Y45" s="5"/>
      <c r="Z45" s="5"/>
    </row>
    <row r="46" spans="1:26" ht="15.75" hidden="1" customHeight="1">
      <c r="A46" s="28">
        <v>1</v>
      </c>
      <c r="B46" s="28" t="s">
        <v>2</v>
      </c>
      <c r="C46" s="29" t="s">
        <v>290</v>
      </c>
      <c r="D46" s="29" t="s">
        <v>279</v>
      </c>
      <c r="E46" s="229"/>
      <c r="F46" s="30" t="s">
        <v>289</v>
      </c>
      <c r="G46" s="31"/>
      <c r="H46" s="34">
        <v>1643</v>
      </c>
      <c r="I46" s="29">
        <v>2</v>
      </c>
      <c r="J46" s="29"/>
      <c r="K46" s="29">
        <v>2500</v>
      </c>
      <c r="L46" s="29">
        <v>0.66</v>
      </c>
      <c r="M46" s="29">
        <v>1</v>
      </c>
      <c r="N46" s="32">
        <f t="shared" si="0"/>
        <v>0.79518072289156627</v>
      </c>
      <c r="O46" s="33"/>
      <c r="P46" s="33"/>
      <c r="Q46" s="33"/>
      <c r="R46" s="5"/>
      <c r="S46" s="5"/>
      <c r="T46" s="5"/>
      <c r="U46" s="5"/>
      <c r="V46" s="5"/>
      <c r="W46" s="5"/>
      <c r="X46" s="5"/>
      <c r="Y46" s="5"/>
      <c r="Z46" s="5"/>
    </row>
    <row r="47" spans="1:26" ht="15.75" hidden="1" customHeight="1">
      <c r="A47" s="28">
        <v>1</v>
      </c>
      <c r="B47" s="28" t="s">
        <v>2</v>
      </c>
      <c r="C47" s="29" t="s">
        <v>290</v>
      </c>
      <c r="D47" s="29" t="s">
        <v>279</v>
      </c>
      <c r="E47" s="229"/>
      <c r="F47" s="30" t="s">
        <v>288</v>
      </c>
      <c r="G47" s="31"/>
      <c r="H47" s="34">
        <v>1620</v>
      </c>
      <c r="I47" s="29">
        <v>228</v>
      </c>
      <c r="J47" s="29"/>
      <c r="K47" s="29">
        <v>2500</v>
      </c>
      <c r="L47" s="29">
        <v>0.65</v>
      </c>
      <c r="M47" s="29">
        <v>0.88</v>
      </c>
      <c r="N47" s="32">
        <f t="shared" si="0"/>
        <v>0.74771241830065371</v>
      </c>
      <c r="O47" s="33"/>
      <c r="P47" s="33"/>
      <c r="Q47" s="33"/>
      <c r="R47" s="5"/>
      <c r="S47" s="5"/>
      <c r="T47" s="5"/>
      <c r="U47" s="5"/>
      <c r="V47" s="5"/>
      <c r="W47" s="5"/>
      <c r="X47" s="5"/>
      <c r="Y47" s="5"/>
      <c r="Z47" s="5"/>
    </row>
    <row r="48" spans="1:26" ht="15.75" hidden="1" customHeight="1">
      <c r="A48" s="28">
        <v>1</v>
      </c>
      <c r="B48" s="28" t="s">
        <v>2</v>
      </c>
      <c r="C48" s="29" t="s">
        <v>290</v>
      </c>
      <c r="D48" s="29" t="s">
        <v>279</v>
      </c>
      <c r="E48" s="229"/>
      <c r="F48" s="30" t="s">
        <v>39</v>
      </c>
      <c r="G48" s="31"/>
      <c r="H48" s="34">
        <v>1097</v>
      </c>
      <c r="I48" s="29">
        <v>12</v>
      </c>
      <c r="J48" s="29"/>
      <c r="K48" s="29">
        <v>2500</v>
      </c>
      <c r="L48" s="29">
        <v>0.44</v>
      </c>
      <c r="M48" s="29">
        <v>0.99</v>
      </c>
      <c r="N48" s="32">
        <f t="shared" si="0"/>
        <v>0.60923076923076924</v>
      </c>
      <c r="O48" s="33"/>
      <c r="P48" s="33"/>
      <c r="Q48" s="33"/>
      <c r="R48" s="5"/>
      <c r="S48" s="5"/>
      <c r="T48" s="5"/>
      <c r="U48" s="5"/>
      <c r="V48" s="5"/>
      <c r="W48" s="5"/>
      <c r="X48" s="5"/>
      <c r="Y48" s="5"/>
      <c r="Z48" s="5"/>
    </row>
    <row r="49" spans="1:26" ht="15.75" hidden="1" customHeight="1">
      <c r="A49" s="28">
        <v>1</v>
      </c>
      <c r="B49" s="28" t="s">
        <v>2</v>
      </c>
      <c r="C49" s="29" t="s">
        <v>290</v>
      </c>
      <c r="D49" s="29" t="s">
        <v>279</v>
      </c>
      <c r="E49" s="232"/>
      <c r="F49" s="30" t="s">
        <v>88</v>
      </c>
      <c r="G49" s="31"/>
      <c r="H49" s="34">
        <v>1091</v>
      </c>
      <c r="I49" s="29">
        <v>17</v>
      </c>
      <c r="J49" s="29"/>
      <c r="K49" s="29">
        <v>2500</v>
      </c>
      <c r="L49" s="29">
        <v>0.44</v>
      </c>
      <c r="M49" s="29">
        <v>0.98</v>
      </c>
      <c r="N49" s="32">
        <f t="shared" si="0"/>
        <v>0.60732394366197184</v>
      </c>
      <c r="O49" s="33"/>
      <c r="P49" s="33"/>
      <c r="Q49" s="33"/>
      <c r="R49" s="5"/>
      <c r="S49" s="5"/>
      <c r="T49" s="5"/>
      <c r="U49" s="5"/>
      <c r="V49" s="5"/>
      <c r="W49" s="5"/>
      <c r="X49" s="5"/>
      <c r="Y49" s="5"/>
      <c r="Z49" s="5"/>
    </row>
    <row r="50" spans="1:26" ht="15.75" hidden="1" customHeight="1">
      <c r="A50" s="28">
        <v>1</v>
      </c>
      <c r="B50" s="28" t="s">
        <v>2</v>
      </c>
      <c r="C50" s="5" t="s">
        <v>292</v>
      </c>
      <c r="D50" s="28" t="s">
        <v>293</v>
      </c>
      <c r="E50" s="28"/>
      <c r="F50" s="44" t="s">
        <v>281</v>
      </c>
      <c r="G50" s="45" t="s">
        <v>294</v>
      </c>
      <c r="H50" s="28"/>
      <c r="I50" s="28"/>
      <c r="J50" s="28"/>
      <c r="K50" s="28"/>
      <c r="L50" s="28"/>
      <c r="M50" s="28"/>
      <c r="N50" s="32"/>
      <c r="O50" s="28">
        <v>1</v>
      </c>
      <c r="P50" s="46"/>
      <c r="Q50" s="28">
        <v>1</v>
      </c>
    </row>
    <row r="51" spans="1:26" ht="15.75" hidden="1" customHeight="1">
      <c r="A51" s="28">
        <v>1</v>
      </c>
      <c r="B51" s="28" t="s">
        <v>2</v>
      </c>
      <c r="C51" s="5" t="s">
        <v>292</v>
      </c>
      <c r="D51" s="28" t="s">
        <v>293</v>
      </c>
      <c r="E51" s="28"/>
      <c r="F51" s="4" t="s">
        <v>284</v>
      </c>
      <c r="G51" s="45"/>
      <c r="H51" s="4">
        <v>341</v>
      </c>
      <c r="I51" s="4">
        <v>106</v>
      </c>
      <c r="J51" s="28">
        <f t="shared" ref="J51:J78" si="1">H51+I51</f>
        <v>447</v>
      </c>
      <c r="K51" s="28">
        <v>490</v>
      </c>
      <c r="L51" s="47">
        <f t="shared" ref="L51:L78" si="2">H51/K51</f>
        <v>0.69591836734693879</v>
      </c>
      <c r="M51" s="47">
        <f t="shared" ref="M51:M78" si="3">H51/J51</f>
        <v>0.76286353467561518</v>
      </c>
      <c r="N51" s="32">
        <f t="shared" ref="N51:N75" si="4">2*M51*L51/(M51+L51)</f>
        <v>0.72785485592315902</v>
      </c>
      <c r="O51" s="28"/>
      <c r="P51" s="46"/>
      <c r="Q51" s="28"/>
    </row>
    <row r="52" spans="1:26" ht="15.75" hidden="1" customHeight="1">
      <c r="A52" s="28">
        <v>1</v>
      </c>
      <c r="B52" s="28" t="s">
        <v>295</v>
      </c>
      <c r="C52" s="5" t="s">
        <v>292</v>
      </c>
      <c r="D52" s="28" t="s">
        <v>293</v>
      </c>
      <c r="E52" s="28"/>
      <c r="F52" s="69" t="s">
        <v>14</v>
      </c>
      <c r="G52" s="49" t="s">
        <v>296</v>
      </c>
      <c r="H52" s="4">
        <v>394</v>
      </c>
      <c r="I52" s="4">
        <v>241</v>
      </c>
      <c r="J52" s="28">
        <f t="shared" si="1"/>
        <v>635</v>
      </c>
      <c r="K52" s="28">
        <v>490</v>
      </c>
      <c r="L52" s="47">
        <f t="shared" si="2"/>
        <v>0.80408163265306121</v>
      </c>
      <c r="M52" s="47">
        <f t="shared" si="3"/>
        <v>0.62047244094488185</v>
      </c>
      <c r="N52" s="32">
        <f t="shared" si="4"/>
        <v>0.70044444444444443</v>
      </c>
      <c r="O52" s="4">
        <v>2</v>
      </c>
      <c r="P52" s="50"/>
      <c r="Q52" s="4">
        <v>2</v>
      </c>
    </row>
    <row r="53" spans="1:26" ht="15.75" hidden="1" customHeight="1">
      <c r="A53" s="4">
        <v>1</v>
      </c>
      <c r="B53" s="28" t="s">
        <v>295</v>
      </c>
      <c r="C53" s="5" t="s">
        <v>292</v>
      </c>
      <c r="D53" s="28" t="s">
        <v>293</v>
      </c>
      <c r="E53" s="28"/>
      <c r="F53" s="95" t="s">
        <v>197</v>
      </c>
      <c r="G53" s="49" t="s">
        <v>297</v>
      </c>
      <c r="H53" s="4">
        <v>235</v>
      </c>
      <c r="I53" s="4">
        <v>303</v>
      </c>
      <c r="J53" s="28">
        <f t="shared" si="1"/>
        <v>538</v>
      </c>
      <c r="K53" s="28">
        <v>490</v>
      </c>
      <c r="L53" s="47">
        <f t="shared" si="2"/>
        <v>0.47959183673469385</v>
      </c>
      <c r="M53" s="47">
        <f t="shared" si="3"/>
        <v>0.43680297397769519</v>
      </c>
      <c r="N53" s="32">
        <f t="shared" si="4"/>
        <v>0.45719844357976652</v>
      </c>
      <c r="O53" s="4">
        <v>2</v>
      </c>
      <c r="P53" s="46"/>
      <c r="Q53" s="4">
        <v>2</v>
      </c>
    </row>
    <row r="54" spans="1:26" ht="15.75" hidden="1" customHeight="1">
      <c r="A54" s="28">
        <v>1</v>
      </c>
      <c r="B54" s="28" t="s">
        <v>295</v>
      </c>
      <c r="C54" s="5" t="s">
        <v>292</v>
      </c>
      <c r="D54" s="28" t="s">
        <v>293</v>
      </c>
      <c r="E54" s="28"/>
      <c r="F54" s="52" t="s">
        <v>30</v>
      </c>
      <c r="G54" s="49" t="s">
        <v>298</v>
      </c>
      <c r="H54" s="4">
        <v>229</v>
      </c>
      <c r="I54" s="4">
        <v>81</v>
      </c>
      <c r="J54" s="28">
        <f t="shared" si="1"/>
        <v>310</v>
      </c>
      <c r="K54" s="28">
        <v>490</v>
      </c>
      <c r="L54" s="47">
        <f t="shared" si="2"/>
        <v>0.4673469387755102</v>
      </c>
      <c r="M54" s="47">
        <f t="shared" si="3"/>
        <v>0.73870967741935489</v>
      </c>
      <c r="N54" s="32">
        <f t="shared" si="4"/>
        <v>0.57250000000000001</v>
      </c>
      <c r="O54" s="4">
        <v>2</v>
      </c>
      <c r="P54" s="29"/>
      <c r="Q54" s="4">
        <v>2</v>
      </c>
    </row>
    <row r="55" spans="1:26" ht="15.75" hidden="1" customHeight="1">
      <c r="A55" s="4">
        <v>1</v>
      </c>
      <c r="B55" s="28" t="s">
        <v>295</v>
      </c>
      <c r="C55" s="5" t="s">
        <v>292</v>
      </c>
      <c r="D55" s="28" t="s">
        <v>293</v>
      </c>
      <c r="E55" s="28"/>
      <c r="F55" s="5" t="s">
        <v>19</v>
      </c>
      <c r="G55" s="49" t="s">
        <v>299</v>
      </c>
      <c r="H55" s="4">
        <v>429</v>
      </c>
      <c r="I55" s="4">
        <v>301</v>
      </c>
      <c r="J55" s="28">
        <f t="shared" si="1"/>
        <v>730</v>
      </c>
      <c r="K55" s="28">
        <v>490</v>
      </c>
      <c r="L55" s="47">
        <f t="shared" si="2"/>
        <v>0.8755102040816326</v>
      </c>
      <c r="M55" s="47">
        <f t="shared" si="3"/>
        <v>0.5876712328767123</v>
      </c>
      <c r="N55" s="32">
        <f t="shared" si="4"/>
        <v>0.70327868852459019</v>
      </c>
      <c r="O55" s="4">
        <v>3</v>
      </c>
      <c r="P55" s="50"/>
      <c r="Q55" s="4">
        <v>3</v>
      </c>
    </row>
    <row r="56" spans="1:26" ht="15.75" hidden="1" customHeight="1">
      <c r="A56" s="28">
        <v>1</v>
      </c>
      <c r="B56" s="28" t="s">
        <v>2</v>
      </c>
      <c r="C56" s="5" t="s">
        <v>292</v>
      </c>
      <c r="D56" s="28" t="s">
        <v>293</v>
      </c>
      <c r="E56" s="28"/>
      <c r="F56" s="53" t="s">
        <v>10</v>
      </c>
      <c r="G56" s="45" t="s">
        <v>300</v>
      </c>
      <c r="H56" s="28">
        <v>411</v>
      </c>
      <c r="I56" s="28">
        <v>109</v>
      </c>
      <c r="J56" s="28">
        <f t="shared" si="1"/>
        <v>520</v>
      </c>
      <c r="K56" s="28">
        <v>490</v>
      </c>
      <c r="L56" s="47">
        <f t="shared" si="2"/>
        <v>0.83877551020408159</v>
      </c>
      <c r="M56" s="47">
        <f t="shared" si="3"/>
        <v>0.79038461538461535</v>
      </c>
      <c r="N56" s="32">
        <f t="shared" si="4"/>
        <v>0.81386138613861381</v>
      </c>
      <c r="O56" s="28">
        <v>4</v>
      </c>
      <c r="P56" s="46"/>
      <c r="Q56" s="4">
        <v>4</v>
      </c>
    </row>
    <row r="57" spans="1:26" ht="15.75" hidden="1" customHeight="1">
      <c r="A57" s="4">
        <v>1</v>
      </c>
      <c r="B57" s="28" t="s">
        <v>2</v>
      </c>
      <c r="C57" s="5" t="s">
        <v>292</v>
      </c>
      <c r="D57" s="28" t="s">
        <v>293</v>
      </c>
      <c r="E57" s="28"/>
      <c r="F57" s="54" t="s">
        <v>13</v>
      </c>
      <c r="G57" s="49" t="s">
        <v>301</v>
      </c>
      <c r="H57" s="28"/>
      <c r="I57" s="28"/>
      <c r="J57" s="28">
        <f t="shared" si="1"/>
        <v>0</v>
      </c>
      <c r="K57" s="28">
        <v>490</v>
      </c>
      <c r="L57" s="47">
        <f t="shared" si="2"/>
        <v>0</v>
      </c>
      <c r="M57" s="47" t="e">
        <f t="shared" si="3"/>
        <v>#DIV/0!</v>
      </c>
      <c r="N57" s="32" t="e">
        <f t="shared" si="4"/>
        <v>#DIV/0!</v>
      </c>
      <c r="O57" s="4">
        <v>4</v>
      </c>
      <c r="P57" s="55"/>
      <c r="Q57" s="4">
        <v>4</v>
      </c>
    </row>
    <row r="58" spans="1:26" ht="15.75" hidden="1" customHeight="1">
      <c r="A58" s="4">
        <v>1</v>
      </c>
      <c r="B58" s="28" t="s">
        <v>2</v>
      </c>
      <c r="C58" s="5" t="s">
        <v>292</v>
      </c>
      <c r="D58" s="28" t="s">
        <v>293</v>
      </c>
      <c r="E58" s="28"/>
      <c r="F58" s="54" t="s">
        <v>13</v>
      </c>
      <c r="G58" s="49" t="s">
        <v>302</v>
      </c>
      <c r="H58" s="28">
        <v>325</v>
      </c>
      <c r="I58" s="28">
        <v>327</v>
      </c>
      <c r="J58" s="28">
        <f t="shared" si="1"/>
        <v>652</v>
      </c>
      <c r="K58" s="28">
        <v>490</v>
      </c>
      <c r="L58" s="47">
        <f t="shared" si="2"/>
        <v>0.66326530612244894</v>
      </c>
      <c r="M58" s="47">
        <f t="shared" si="3"/>
        <v>0.49846625766871167</v>
      </c>
      <c r="N58" s="32">
        <f t="shared" si="4"/>
        <v>0.56917688266199651</v>
      </c>
      <c r="O58" s="4">
        <v>4</v>
      </c>
      <c r="P58" s="55"/>
      <c r="Q58" s="4">
        <v>4</v>
      </c>
    </row>
    <row r="59" spans="1:26" ht="15.75" hidden="1" customHeight="1">
      <c r="A59" s="4">
        <v>1</v>
      </c>
      <c r="B59" s="28" t="s">
        <v>295</v>
      </c>
      <c r="C59" s="5" t="s">
        <v>292</v>
      </c>
      <c r="D59" s="28" t="s">
        <v>293</v>
      </c>
      <c r="E59" s="28"/>
      <c r="F59" s="56" t="s">
        <v>16</v>
      </c>
      <c r="G59" s="49" t="s">
        <v>303</v>
      </c>
      <c r="H59" s="4">
        <v>157</v>
      </c>
      <c r="I59" s="4">
        <v>1471</v>
      </c>
      <c r="J59" s="28">
        <f t="shared" si="1"/>
        <v>1628</v>
      </c>
      <c r="K59" s="28">
        <v>490</v>
      </c>
      <c r="L59" s="47">
        <f t="shared" si="2"/>
        <v>0.32040816326530613</v>
      </c>
      <c r="M59" s="47">
        <f t="shared" si="3"/>
        <v>9.6437346437346444E-2</v>
      </c>
      <c r="N59" s="32">
        <f t="shared" si="4"/>
        <v>0.14825306893295565</v>
      </c>
      <c r="O59" s="4">
        <v>10</v>
      </c>
      <c r="P59" s="46"/>
      <c r="Q59" s="4">
        <v>5</v>
      </c>
    </row>
    <row r="60" spans="1:26" ht="15.75" hidden="1" customHeight="1">
      <c r="A60" s="28">
        <v>1</v>
      </c>
      <c r="B60" s="28" t="s">
        <v>295</v>
      </c>
      <c r="C60" s="5" t="s">
        <v>292</v>
      </c>
      <c r="D60" s="28" t="s">
        <v>293</v>
      </c>
      <c r="E60" s="28"/>
      <c r="F60" s="57" t="s">
        <v>82</v>
      </c>
      <c r="G60" s="49" t="s">
        <v>304</v>
      </c>
      <c r="H60" s="4">
        <v>226</v>
      </c>
      <c r="I60" s="4">
        <v>1328</v>
      </c>
      <c r="J60" s="28">
        <f t="shared" si="1"/>
        <v>1554</v>
      </c>
      <c r="K60" s="28">
        <v>490</v>
      </c>
      <c r="L60" s="47">
        <f t="shared" si="2"/>
        <v>0.46122448979591835</v>
      </c>
      <c r="M60" s="47">
        <f t="shared" si="3"/>
        <v>0.14543114543114544</v>
      </c>
      <c r="N60" s="32">
        <f t="shared" si="4"/>
        <v>0.22113502935420745</v>
      </c>
      <c r="O60" s="4">
        <v>10</v>
      </c>
      <c r="P60" s="5"/>
      <c r="Q60" s="4">
        <v>5</v>
      </c>
    </row>
    <row r="61" spans="1:26" ht="15.75" hidden="1" customHeight="1">
      <c r="A61" s="28">
        <v>1</v>
      </c>
      <c r="B61" s="28" t="s">
        <v>295</v>
      </c>
      <c r="C61" s="5" t="s">
        <v>292</v>
      </c>
      <c r="D61" s="28" t="s">
        <v>293</v>
      </c>
      <c r="E61" s="28"/>
      <c r="F61" s="58" t="s">
        <v>17</v>
      </c>
      <c r="G61" s="49" t="s">
        <v>305</v>
      </c>
      <c r="H61" s="4">
        <v>97</v>
      </c>
      <c r="I61" s="4">
        <v>58</v>
      </c>
      <c r="J61" s="28">
        <f t="shared" si="1"/>
        <v>155</v>
      </c>
      <c r="K61" s="28">
        <v>490</v>
      </c>
      <c r="L61" s="47">
        <f t="shared" si="2"/>
        <v>0.19795918367346937</v>
      </c>
      <c r="M61" s="47">
        <f t="shared" si="3"/>
        <v>0.62580645161290327</v>
      </c>
      <c r="N61" s="32">
        <f t="shared" si="4"/>
        <v>0.30077519379844958</v>
      </c>
      <c r="O61" s="4">
        <v>11</v>
      </c>
      <c r="P61" s="5"/>
      <c r="Q61" s="4">
        <v>6</v>
      </c>
    </row>
    <row r="62" spans="1:26" ht="15.75" hidden="1" customHeight="1">
      <c r="A62" s="28">
        <v>1</v>
      </c>
      <c r="B62" s="28" t="s">
        <v>295</v>
      </c>
      <c r="C62" s="5" t="s">
        <v>292</v>
      </c>
      <c r="D62" s="28" t="s">
        <v>293</v>
      </c>
      <c r="E62" s="28"/>
      <c r="F62" s="52" t="s">
        <v>28</v>
      </c>
      <c r="G62" s="45" t="s">
        <v>306</v>
      </c>
      <c r="H62" s="4">
        <v>188</v>
      </c>
      <c r="I62" s="4">
        <v>21</v>
      </c>
      <c r="J62" s="28">
        <f t="shared" si="1"/>
        <v>209</v>
      </c>
      <c r="K62" s="28">
        <v>490</v>
      </c>
      <c r="L62" s="47">
        <f t="shared" si="2"/>
        <v>0.3836734693877551</v>
      </c>
      <c r="M62" s="47">
        <f t="shared" si="3"/>
        <v>0.8995215311004785</v>
      </c>
      <c r="N62" s="32">
        <f t="shared" si="4"/>
        <v>0.53791130185979974</v>
      </c>
      <c r="O62" s="4">
        <v>15</v>
      </c>
      <c r="P62" s="50"/>
      <c r="Q62" s="4">
        <v>7</v>
      </c>
    </row>
    <row r="63" spans="1:26" ht="15.75" hidden="1" customHeight="1">
      <c r="A63" s="28">
        <v>1</v>
      </c>
      <c r="B63" s="28" t="s">
        <v>295</v>
      </c>
      <c r="C63" s="5" t="s">
        <v>292</v>
      </c>
      <c r="D63" s="28" t="s">
        <v>293</v>
      </c>
      <c r="E63" s="28"/>
      <c r="F63" s="30" t="s">
        <v>282</v>
      </c>
      <c r="G63" s="45" t="s">
        <v>307</v>
      </c>
      <c r="H63" s="4">
        <v>375</v>
      </c>
      <c r="I63" s="4">
        <v>711</v>
      </c>
      <c r="J63" s="28">
        <f t="shared" si="1"/>
        <v>1086</v>
      </c>
      <c r="K63" s="28">
        <v>490</v>
      </c>
      <c r="L63" s="47">
        <f t="shared" si="2"/>
        <v>0.76530612244897955</v>
      </c>
      <c r="M63" s="47">
        <f t="shared" si="3"/>
        <v>0.34530386740331492</v>
      </c>
      <c r="N63" s="32">
        <f t="shared" si="4"/>
        <v>0.4758883248730964</v>
      </c>
      <c r="O63" s="4">
        <v>15</v>
      </c>
      <c r="P63" s="5"/>
      <c r="Q63" s="4">
        <v>7</v>
      </c>
    </row>
    <row r="64" spans="1:26" ht="15.75" hidden="1" customHeight="1">
      <c r="A64" s="28">
        <v>1</v>
      </c>
      <c r="B64" s="28" t="s">
        <v>295</v>
      </c>
      <c r="C64" s="5" t="s">
        <v>292</v>
      </c>
      <c r="D64" s="28" t="s">
        <v>293</v>
      </c>
      <c r="E64" s="28"/>
      <c r="F64" s="60" t="s">
        <v>22</v>
      </c>
      <c r="G64" s="49" t="s">
        <v>308</v>
      </c>
      <c r="H64" s="4">
        <v>196</v>
      </c>
      <c r="I64" s="4">
        <v>911</v>
      </c>
      <c r="J64" s="28">
        <f t="shared" si="1"/>
        <v>1107</v>
      </c>
      <c r="K64" s="28">
        <v>490</v>
      </c>
      <c r="L64" s="47">
        <f t="shared" si="2"/>
        <v>0.4</v>
      </c>
      <c r="M64" s="47">
        <f t="shared" si="3"/>
        <v>0.17705510388437218</v>
      </c>
      <c r="N64" s="32">
        <f t="shared" si="4"/>
        <v>0.24546023794614902</v>
      </c>
      <c r="O64" s="4">
        <v>20</v>
      </c>
      <c r="P64" s="50"/>
      <c r="Q64" s="4">
        <v>8</v>
      </c>
    </row>
    <row r="65" spans="1:17" ht="15.75" hidden="1" customHeight="1">
      <c r="A65" s="4">
        <v>1</v>
      </c>
      <c r="B65" s="28" t="s">
        <v>295</v>
      </c>
      <c r="C65" s="5" t="s">
        <v>292</v>
      </c>
      <c r="D65" s="28" t="s">
        <v>293</v>
      </c>
      <c r="E65" s="28"/>
      <c r="F65" s="61" t="s">
        <v>23</v>
      </c>
      <c r="G65" s="49" t="s">
        <v>309</v>
      </c>
      <c r="H65" s="4">
        <v>270</v>
      </c>
      <c r="I65" s="4">
        <v>8</v>
      </c>
      <c r="J65" s="28">
        <f t="shared" si="1"/>
        <v>278</v>
      </c>
      <c r="K65" s="28">
        <v>490</v>
      </c>
      <c r="L65" s="47">
        <f t="shared" si="2"/>
        <v>0.55102040816326525</v>
      </c>
      <c r="M65" s="47">
        <f t="shared" si="3"/>
        <v>0.97122302158273377</v>
      </c>
      <c r="N65" s="32">
        <f t="shared" si="4"/>
        <v>0.703125</v>
      </c>
      <c r="O65" s="4">
        <v>25</v>
      </c>
      <c r="P65" s="5"/>
      <c r="Q65" s="4">
        <v>9</v>
      </c>
    </row>
    <row r="66" spans="1:17" ht="15.75" hidden="1" customHeight="1">
      <c r="A66" s="4">
        <v>1</v>
      </c>
      <c r="B66" s="28" t="s">
        <v>295</v>
      </c>
      <c r="C66" s="5" t="s">
        <v>292</v>
      </c>
      <c r="D66" s="28" t="s">
        <v>293</v>
      </c>
      <c r="E66" s="28"/>
      <c r="F66" s="3" t="s">
        <v>164</v>
      </c>
      <c r="G66" s="49" t="s">
        <v>310</v>
      </c>
      <c r="H66" s="4">
        <v>246</v>
      </c>
      <c r="I66" s="4">
        <v>56</v>
      </c>
      <c r="J66" s="28">
        <f t="shared" si="1"/>
        <v>302</v>
      </c>
      <c r="K66" s="28">
        <v>490</v>
      </c>
      <c r="L66" s="47">
        <f t="shared" si="2"/>
        <v>0.50204081632653064</v>
      </c>
      <c r="M66" s="47">
        <f t="shared" si="3"/>
        <v>0.81456953642384111</v>
      </c>
      <c r="N66" s="32">
        <f t="shared" si="4"/>
        <v>0.62121212121212122</v>
      </c>
      <c r="O66" s="4">
        <v>25</v>
      </c>
      <c r="P66" s="50"/>
      <c r="Q66" s="4">
        <v>9</v>
      </c>
    </row>
    <row r="67" spans="1:17" ht="15.75" customHeight="1">
      <c r="A67" s="4">
        <v>1</v>
      </c>
      <c r="B67" s="28" t="s">
        <v>295</v>
      </c>
      <c r="C67" s="5" t="s">
        <v>292</v>
      </c>
      <c r="D67" s="28" t="s">
        <v>293</v>
      </c>
      <c r="E67" s="28"/>
      <c r="F67" s="86" t="s">
        <v>99</v>
      </c>
      <c r="G67" s="49" t="s">
        <v>311</v>
      </c>
      <c r="H67" s="4">
        <v>319</v>
      </c>
      <c r="I67" s="4">
        <v>390</v>
      </c>
      <c r="J67" s="28">
        <f t="shared" si="1"/>
        <v>709</v>
      </c>
      <c r="K67" s="28">
        <v>490</v>
      </c>
      <c r="L67" s="47">
        <f t="shared" si="2"/>
        <v>0.65102040816326534</v>
      </c>
      <c r="M67" s="47">
        <f t="shared" si="3"/>
        <v>0.44992947813822287</v>
      </c>
      <c r="N67" s="32">
        <f t="shared" si="4"/>
        <v>0.5321100917431193</v>
      </c>
      <c r="O67" s="4">
        <v>25</v>
      </c>
      <c r="P67" s="5"/>
      <c r="Q67" s="4">
        <v>9</v>
      </c>
    </row>
    <row r="68" spans="1:17" ht="15.75" hidden="1" customHeight="1">
      <c r="A68" s="4">
        <v>1</v>
      </c>
      <c r="B68" s="28" t="s">
        <v>295</v>
      </c>
      <c r="C68" s="5" t="s">
        <v>292</v>
      </c>
      <c r="D68" s="28" t="s">
        <v>293</v>
      </c>
      <c r="E68" s="28"/>
      <c r="F68" s="64" t="s">
        <v>21</v>
      </c>
      <c r="G68" s="49" t="s">
        <v>312</v>
      </c>
      <c r="H68" s="4">
        <v>145</v>
      </c>
      <c r="I68" s="4">
        <v>435</v>
      </c>
      <c r="J68" s="28">
        <f t="shared" si="1"/>
        <v>580</v>
      </c>
      <c r="K68" s="28">
        <v>490</v>
      </c>
      <c r="L68" s="47">
        <f t="shared" si="2"/>
        <v>0.29591836734693877</v>
      </c>
      <c r="M68" s="47">
        <f t="shared" si="3"/>
        <v>0.25</v>
      </c>
      <c r="N68" s="32">
        <f t="shared" si="4"/>
        <v>0.27102803738317754</v>
      </c>
      <c r="O68" s="4">
        <v>30</v>
      </c>
      <c r="P68" s="5"/>
      <c r="Q68" s="4">
        <v>10</v>
      </c>
    </row>
    <row r="69" spans="1:17" ht="15.75" hidden="1" customHeight="1">
      <c r="A69" s="4">
        <v>1</v>
      </c>
      <c r="B69" s="28" t="s">
        <v>295</v>
      </c>
      <c r="C69" s="5" t="s">
        <v>292</v>
      </c>
      <c r="D69" s="28" t="s">
        <v>293</v>
      </c>
      <c r="E69" s="28"/>
      <c r="F69" s="65" t="s">
        <v>25</v>
      </c>
      <c r="G69" s="49" t="s">
        <v>313</v>
      </c>
      <c r="H69" s="4">
        <v>315</v>
      </c>
      <c r="I69" s="4">
        <v>283</v>
      </c>
      <c r="J69" s="28">
        <f t="shared" si="1"/>
        <v>598</v>
      </c>
      <c r="K69" s="28">
        <v>490</v>
      </c>
      <c r="L69" s="47">
        <f t="shared" si="2"/>
        <v>0.6428571428571429</v>
      </c>
      <c r="M69" s="47">
        <f t="shared" si="3"/>
        <v>0.52675585284280935</v>
      </c>
      <c r="N69" s="32">
        <f t="shared" si="4"/>
        <v>0.57904411764705888</v>
      </c>
      <c r="O69" s="4">
        <v>30</v>
      </c>
      <c r="P69" s="5"/>
      <c r="Q69" s="4">
        <v>10</v>
      </c>
    </row>
    <row r="70" spans="1:17" ht="15.75" hidden="1" customHeight="1">
      <c r="A70" s="4">
        <v>1</v>
      </c>
      <c r="B70" s="28" t="s">
        <v>295</v>
      </c>
      <c r="C70" s="5" t="s">
        <v>292</v>
      </c>
      <c r="D70" s="28" t="s">
        <v>293</v>
      </c>
      <c r="E70" s="28"/>
      <c r="F70" s="30" t="s">
        <v>288</v>
      </c>
      <c r="G70" s="45" t="s">
        <v>307</v>
      </c>
      <c r="H70" s="4">
        <v>273</v>
      </c>
      <c r="I70" s="4">
        <v>296</v>
      </c>
      <c r="J70" s="28">
        <f t="shared" si="1"/>
        <v>569</v>
      </c>
      <c r="K70" s="28">
        <v>490</v>
      </c>
      <c r="L70" s="47">
        <f t="shared" si="2"/>
        <v>0.55714285714285716</v>
      </c>
      <c r="M70" s="47">
        <f t="shared" si="3"/>
        <v>0.47978910369068539</v>
      </c>
      <c r="N70" s="32">
        <f t="shared" si="4"/>
        <v>0.51558073654390935</v>
      </c>
      <c r="O70" s="4">
        <v>30</v>
      </c>
      <c r="P70" s="5"/>
      <c r="Q70" s="4">
        <v>10</v>
      </c>
    </row>
    <row r="71" spans="1:17" ht="15.75" hidden="1" customHeight="1">
      <c r="A71" s="28">
        <v>1</v>
      </c>
      <c r="B71" s="28" t="s">
        <v>295</v>
      </c>
      <c r="C71" s="5" t="s">
        <v>292</v>
      </c>
      <c r="D71" s="28" t="s">
        <v>293</v>
      </c>
      <c r="E71" s="28"/>
      <c r="F71" s="66" t="s">
        <v>37</v>
      </c>
      <c r="G71" s="45" t="s">
        <v>314</v>
      </c>
      <c r="H71" s="4">
        <v>274</v>
      </c>
      <c r="I71" s="4">
        <v>16</v>
      </c>
      <c r="J71" s="28">
        <f t="shared" si="1"/>
        <v>290</v>
      </c>
      <c r="K71" s="28">
        <v>490</v>
      </c>
      <c r="L71" s="47">
        <f t="shared" si="2"/>
        <v>0.5591836734693878</v>
      </c>
      <c r="M71" s="47">
        <f t="shared" si="3"/>
        <v>0.94482758620689655</v>
      </c>
      <c r="N71" s="32">
        <f t="shared" si="4"/>
        <v>0.70256410256410262</v>
      </c>
      <c r="O71" s="4">
        <v>45</v>
      </c>
      <c r="P71" s="5"/>
      <c r="Q71" s="4">
        <v>11</v>
      </c>
    </row>
    <row r="72" spans="1:17" ht="15.75" hidden="1" customHeight="1">
      <c r="A72" s="28">
        <v>1</v>
      </c>
      <c r="B72" s="28" t="s">
        <v>295</v>
      </c>
      <c r="C72" s="5" t="s">
        <v>292</v>
      </c>
      <c r="D72" s="28" t="s">
        <v>293</v>
      </c>
      <c r="E72" s="28"/>
      <c r="F72" s="67" t="s">
        <v>24</v>
      </c>
      <c r="G72" s="49"/>
      <c r="H72" s="4">
        <v>318</v>
      </c>
      <c r="I72" s="4">
        <v>334</v>
      </c>
      <c r="J72" s="28">
        <f t="shared" si="1"/>
        <v>652</v>
      </c>
      <c r="K72" s="28">
        <v>490</v>
      </c>
      <c r="L72" s="47">
        <f t="shared" si="2"/>
        <v>0.6489795918367347</v>
      </c>
      <c r="M72" s="47">
        <f t="shared" si="3"/>
        <v>0.48773006134969327</v>
      </c>
      <c r="N72" s="32">
        <f t="shared" si="4"/>
        <v>0.55691768826619958</v>
      </c>
      <c r="O72" s="4">
        <v>60</v>
      </c>
      <c r="P72" s="5"/>
      <c r="Q72" s="4">
        <v>12</v>
      </c>
    </row>
    <row r="73" spans="1:17" ht="15.75" hidden="1" customHeight="1">
      <c r="A73" s="4">
        <v>1</v>
      </c>
      <c r="B73" s="28" t="s">
        <v>295</v>
      </c>
      <c r="C73" s="5" t="s">
        <v>292</v>
      </c>
      <c r="D73" s="28" t="s">
        <v>293</v>
      </c>
      <c r="E73" s="28"/>
      <c r="F73" s="30" t="s">
        <v>107</v>
      </c>
      <c r="G73" s="45" t="s">
        <v>307</v>
      </c>
      <c r="H73" s="4">
        <v>291</v>
      </c>
      <c r="I73" s="4">
        <v>1185</v>
      </c>
      <c r="J73" s="28">
        <f t="shared" si="1"/>
        <v>1476</v>
      </c>
      <c r="K73" s="28">
        <v>490</v>
      </c>
      <c r="L73" s="47">
        <f t="shared" si="2"/>
        <v>0.59387755102040818</v>
      </c>
      <c r="M73" s="47">
        <f t="shared" si="3"/>
        <v>0.19715447154471544</v>
      </c>
      <c r="N73" s="32">
        <f t="shared" si="4"/>
        <v>0.29603255340793488</v>
      </c>
      <c r="O73" s="4">
        <v>65</v>
      </c>
      <c r="P73" s="5"/>
      <c r="Q73" s="4">
        <v>13</v>
      </c>
    </row>
    <row r="74" spans="1:17" ht="15.75" hidden="1" customHeight="1">
      <c r="A74" s="4">
        <v>1</v>
      </c>
      <c r="B74" s="28" t="s">
        <v>295</v>
      </c>
      <c r="C74" s="5" t="s">
        <v>292</v>
      </c>
      <c r="D74" s="28" t="s">
        <v>293</v>
      </c>
      <c r="E74" s="28"/>
      <c r="F74" s="66" t="s">
        <v>39</v>
      </c>
      <c r="G74" s="45" t="s">
        <v>314</v>
      </c>
      <c r="H74" s="4">
        <v>216</v>
      </c>
      <c r="I74" s="4">
        <v>24</v>
      </c>
      <c r="J74" s="28">
        <f t="shared" si="1"/>
        <v>240</v>
      </c>
      <c r="K74" s="28">
        <v>490</v>
      </c>
      <c r="L74" s="47">
        <f t="shared" si="2"/>
        <v>0.44081632653061226</v>
      </c>
      <c r="M74" s="47">
        <f t="shared" si="3"/>
        <v>0.9</v>
      </c>
      <c r="N74" s="32">
        <f t="shared" si="4"/>
        <v>0.59178082191780823</v>
      </c>
      <c r="O74" s="4">
        <v>70</v>
      </c>
      <c r="P74" s="5"/>
      <c r="Q74" s="4">
        <v>14</v>
      </c>
    </row>
    <row r="75" spans="1:17" ht="15.75" hidden="1" customHeight="1">
      <c r="A75" s="28">
        <v>1</v>
      </c>
      <c r="B75" s="28" t="s">
        <v>295</v>
      </c>
      <c r="C75" s="5" t="s">
        <v>292</v>
      </c>
      <c r="D75" s="28" t="s">
        <v>293</v>
      </c>
      <c r="E75" s="28"/>
      <c r="F75" s="66" t="s">
        <v>40</v>
      </c>
      <c r="G75" s="45" t="s">
        <v>314</v>
      </c>
      <c r="H75" s="4">
        <v>262</v>
      </c>
      <c r="I75" s="4">
        <v>34</v>
      </c>
      <c r="J75" s="28">
        <f t="shared" si="1"/>
        <v>296</v>
      </c>
      <c r="K75" s="28">
        <v>490</v>
      </c>
      <c r="L75" s="47">
        <f t="shared" si="2"/>
        <v>0.53469387755102038</v>
      </c>
      <c r="M75" s="47">
        <f t="shared" si="3"/>
        <v>0.88513513513513509</v>
      </c>
      <c r="N75" s="32">
        <f t="shared" si="4"/>
        <v>0.66666666666666663</v>
      </c>
      <c r="O75" s="4">
        <v>70</v>
      </c>
      <c r="P75" s="5"/>
      <c r="Q75" s="4">
        <v>14</v>
      </c>
    </row>
    <row r="76" spans="1:17" ht="15.75" hidden="1" customHeight="1">
      <c r="A76" s="28">
        <v>1</v>
      </c>
      <c r="B76" s="28" t="s">
        <v>295</v>
      </c>
      <c r="C76" s="5" t="s">
        <v>292</v>
      </c>
      <c r="D76" s="28" t="s">
        <v>293</v>
      </c>
      <c r="E76" s="28"/>
      <c r="F76" s="5" t="s">
        <v>315</v>
      </c>
      <c r="G76" s="49"/>
      <c r="H76" s="4"/>
      <c r="I76" s="4"/>
      <c r="J76" s="28">
        <f t="shared" si="1"/>
        <v>0</v>
      </c>
      <c r="K76" s="28">
        <v>490</v>
      </c>
      <c r="L76" s="47">
        <f t="shared" si="2"/>
        <v>0</v>
      </c>
      <c r="M76" s="47" t="e">
        <f t="shared" si="3"/>
        <v>#DIV/0!</v>
      </c>
      <c r="N76" s="32"/>
      <c r="O76" s="4"/>
      <c r="P76" s="46"/>
    </row>
    <row r="77" spans="1:17" ht="15.75" hidden="1" customHeight="1">
      <c r="A77" s="28">
        <v>2</v>
      </c>
      <c r="B77" s="68" t="s">
        <v>47</v>
      </c>
      <c r="C77" s="5" t="s">
        <v>316</v>
      </c>
      <c r="D77" s="4" t="s">
        <v>279</v>
      </c>
      <c r="E77" s="4"/>
      <c r="F77" s="69" t="s">
        <v>14</v>
      </c>
      <c r="G77" s="49" t="s">
        <v>318</v>
      </c>
      <c r="H77" s="4">
        <v>90</v>
      </c>
      <c r="I77" s="4">
        <v>7</v>
      </c>
      <c r="J77" s="4">
        <f t="shared" si="1"/>
        <v>97</v>
      </c>
      <c r="K77" s="4">
        <v>150</v>
      </c>
      <c r="L77" s="70">
        <f t="shared" si="2"/>
        <v>0.6</v>
      </c>
      <c r="M77" s="71">
        <f t="shared" si="3"/>
        <v>0.92783505154639179</v>
      </c>
      <c r="N77" s="32"/>
      <c r="O77" s="4">
        <v>1</v>
      </c>
      <c r="P77" s="5">
        <v>38</v>
      </c>
      <c r="Q77" s="4">
        <v>1</v>
      </c>
    </row>
    <row r="78" spans="1:17" ht="15.75" hidden="1" customHeight="1">
      <c r="A78" s="28">
        <v>2</v>
      </c>
      <c r="B78" s="13" t="s">
        <v>47</v>
      </c>
      <c r="C78" s="5" t="s">
        <v>316</v>
      </c>
      <c r="D78" s="4" t="s">
        <v>279</v>
      </c>
      <c r="E78" s="4"/>
      <c r="F78" s="44" t="s">
        <v>281</v>
      </c>
      <c r="G78" s="49" t="s">
        <v>319</v>
      </c>
      <c r="H78" s="4">
        <v>52</v>
      </c>
      <c r="I78" s="4">
        <v>13</v>
      </c>
      <c r="J78" s="4">
        <f t="shared" si="1"/>
        <v>65</v>
      </c>
      <c r="K78" s="4">
        <v>150</v>
      </c>
      <c r="L78" s="70">
        <f t="shared" si="2"/>
        <v>0.34666666666666668</v>
      </c>
      <c r="M78" s="71">
        <f t="shared" si="3"/>
        <v>0.8</v>
      </c>
      <c r="N78" s="32"/>
      <c r="O78" s="4">
        <v>2</v>
      </c>
      <c r="P78" s="5">
        <v>38</v>
      </c>
      <c r="Q78" s="4">
        <v>2</v>
      </c>
    </row>
    <row r="79" spans="1:17" ht="15.75" hidden="1" customHeight="1">
      <c r="A79" s="28">
        <v>2</v>
      </c>
      <c r="B79" s="13" t="s">
        <v>47</v>
      </c>
      <c r="C79" s="5" t="s">
        <v>316</v>
      </c>
      <c r="D79" s="4" t="s">
        <v>279</v>
      </c>
      <c r="E79" s="4"/>
      <c r="F79" s="54" t="s">
        <v>13</v>
      </c>
      <c r="G79" s="49" t="s">
        <v>318</v>
      </c>
      <c r="H79" s="4"/>
      <c r="I79" s="4"/>
      <c r="J79" s="4"/>
      <c r="K79" s="4">
        <v>150</v>
      </c>
      <c r="L79" s="70"/>
      <c r="M79" s="71"/>
      <c r="N79" s="32"/>
      <c r="O79" s="4">
        <v>6</v>
      </c>
      <c r="P79" s="5">
        <v>10</v>
      </c>
      <c r="Q79" s="4">
        <v>3</v>
      </c>
    </row>
    <row r="80" spans="1:17" ht="15.75" hidden="1" customHeight="1">
      <c r="A80" s="28">
        <v>2</v>
      </c>
      <c r="B80" s="13" t="s">
        <v>47</v>
      </c>
      <c r="C80" s="5" t="s">
        <v>316</v>
      </c>
      <c r="D80" s="4" t="s">
        <v>279</v>
      </c>
      <c r="E80" s="4"/>
      <c r="F80" s="60" t="s">
        <v>22</v>
      </c>
      <c r="G80" s="49" t="s">
        <v>322</v>
      </c>
      <c r="H80" s="4"/>
      <c r="I80" s="4"/>
      <c r="J80" s="4"/>
      <c r="K80" s="4">
        <v>150</v>
      </c>
      <c r="L80" s="70"/>
      <c r="M80" s="71"/>
      <c r="N80" s="32"/>
      <c r="O80" s="4">
        <v>8</v>
      </c>
      <c r="P80" s="5">
        <v>5</v>
      </c>
      <c r="Q80" s="4">
        <v>4</v>
      </c>
    </row>
    <row r="81" spans="1:17" ht="15.75" hidden="1" customHeight="1">
      <c r="A81" s="28">
        <v>2</v>
      </c>
      <c r="B81" s="13" t="s">
        <v>47</v>
      </c>
      <c r="C81" s="5" t="s">
        <v>316</v>
      </c>
      <c r="D81" s="4" t="s">
        <v>279</v>
      </c>
      <c r="E81" s="4"/>
      <c r="F81" s="74" t="s">
        <v>24</v>
      </c>
      <c r="G81" s="49" t="s">
        <v>323</v>
      </c>
      <c r="H81" s="4">
        <v>20</v>
      </c>
      <c r="I81" s="4">
        <v>17</v>
      </c>
      <c r="J81" s="4">
        <f t="shared" ref="J81:J82" si="5">H81+I81</f>
        <v>37</v>
      </c>
      <c r="K81" s="4">
        <v>150</v>
      </c>
      <c r="L81" s="70">
        <f t="shared" ref="L81:L82" si="6">H81/K81</f>
        <v>0.13333333333333333</v>
      </c>
      <c r="M81" s="71">
        <f t="shared" ref="M81:M82" si="7">H81/J81</f>
        <v>0.54054054054054057</v>
      </c>
      <c r="N81" s="32"/>
      <c r="O81" s="4">
        <v>14</v>
      </c>
      <c r="P81" s="5">
        <v>5</v>
      </c>
      <c r="Q81" s="4">
        <v>5</v>
      </c>
    </row>
    <row r="82" spans="1:17" ht="15.75" hidden="1" customHeight="1">
      <c r="A82" s="28">
        <v>2</v>
      </c>
      <c r="B82" s="13" t="s">
        <v>47</v>
      </c>
      <c r="C82" s="5" t="s">
        <v>316</v>
      </c>
      <c r="D82" s="4" t="s">
        <v>279</v>
      </c>
      <c r="E82" s="4"/>
      <c r="F82" s="3" t="s">
        <v>164</v>
      </c>
      <c r="G82" s="49" t="s">
        <v>324</v>
      </c>
      <c r="H82" s="4">
        <v>56</v>
      </c>
      <c r="I82" s="4">
        <v>12</v>
      </c>
      <c r="J82" s="4">
        <f t="shared" si="5"/>
        <v>68</v>
      </c>
      <c r="K82" s="4">
        <v>150</v>
      </c>
      <c r="L82" s="70">
        <f t="shared" si="6"/>
        <v>0.37333333333333335</v>
      </c>
      <c r="M82" s="71">
        <f t="shared" si="7"/>
        <v>0.82352941176470584</v>
      </c>
      <c r="N82" s="32"/>
      <c r="O82" s="4">
        <v>17</v>
      </c>
      <c r="P82" s="5">
        <v>7</v>
      </c>
      <c r="Q82" s="4">
        <v>6</v>
      </c>
    </row>
    <row r="83" spans="1:17" ht="15.75" hidden="1" customHeight="1">
      <c r="A83" s="28">
        <v>2</v>
      </c>
      <c r="B83" s="13" t="s">
        <v>47</v>
      </c>
      <c r="C83" s="5" t="s">
        <v>316</v>
      </c>
      <c r="D83" s="4" t="s">
        <v>279</v>
      </c>
      <c r="E83" s="4"/>
      <c r="F83" s="76" t="s">
        <v>28</v>
      </c>
      <c r="G83" s="49" t="s">
        <v>306</v>
      </c>
      <c r="H83" s="4"/>
      <c r="I83" s="4"/>
      <c r="J83" s="4"/>
      <c r="K83" s="4">
        <v>150</v>
      </c>
      <c r="L83" s="70"/>
      <c r="M83" s="71"/>
      <c r="N83" s="32"/>
      <c r="O83" s="4">
        <v>27</v>
      </c>
      <c r="P83" s="5">
        <v>7</v>
      </c>
      <c r="Q83" s="4">
        <v>7</v>
      </c>
    </row>
    <row r="84" spans="1:17" ht="15.75" hidden="1" customHeight="1">
      <c r="A84" s="28">
        <v>2</v>
      </c>
      <c r="B84" s="68" t="s">
        <v>47</v>
      </c>
      <c r="C84" s="5" t="s">
        <v>325</v>
      </c>
      <c r="D84" s="4" t="s">
        <v>326</v>
      </c>
      <c r="E84" s="4"/>
      <c r="F84" s="69" t="s">
        <v>14</v>
      </c>
      <c r="G84" s="49" t="s">
        <v>318</v>
      </c>
      <c r="H84" s="4">
        <v>10</v>
      </c>
      <c r="I84" s="4">
        <v>0</v>
      </c>
      <c r="J84" s="4">
        <f t="shared" ref="J84:J89" si="8">H84+I84</f>
        <v>10</v>
      </c>
      <c r="K84" s="4">
        <v>20</v>
      </c>
      <c r="L84" s="70">
        <f t="shared" ref="L84:L89" si="9">H84/K84</f>
        <v>0.5</v>
      </c>
      <c r="M84" s="71">
        <f t="shared" ref="M84:M89" si="10">H84/J84</f>
        <v>1</v>
      </c>
      <c r="N84" s="32"/>
      <c r="O84" s="4">
        <v>0.25</v>
      </c>
      <c r="P84" s="5">
        <v>38</v>
      </c>
      <c r="Q84" s="4">
        <v>1</v>
      </c>
    </row>
    <row r="85" spans="1:17" ht="15.75" hidden="1" customHeight="1">
      <c r="A85" s="28">
        <v>2</v>
      </c>
      <c r="B85" s="13" t="s">
        <v>47</v>
      </c>
      <c r="C85" s="5" t="s">
        <v>325</v>
      </c>
      <c r="D85" s="4" t="s">
        <v>326</v>
      </c>
      <c r="E85" s="4"/>
      <c r="F85" s="54" t="s">
        <v>13</v>
      </c>
      <c r="G85" s="49" t="s">
        <v>318</v>
      </c>
      <c r="H85" s="4">
        <v>8</v>
      </c>
      <c r="I85" s="4">
        <v>32</v>
      </c>
      <c r="J85" s="4">
        <f t="shared" si="8"/>
        <v>40</v>
      </c>
      <c r="K85" s="4">
        <v>20</v>
      </c>
      <c r="L85" s="70">
        <f t="shared" si="9"/>
        <v>0.4</v>
      </c>
      <c r="M85" s="71">
        <f t="shared" si="10"/>
        <v>0.2</v>
      </c>
      <c r="N85" s="32"/>
      <c r="O85" s="4">
        <v>1</v>
      </c>
      <c r="P85" s="5">
        <v>28</v>
      </c>
      <c r="Q85" s="4">
        <v>2</v>
      </c>
    </row>
    <row r="86" spans="1:17" ht="15.75" hidden="1" customHeight="1">
      <c r="A86" s="28">
        <v>2</v>
      </c>
      <c r="B86" s="13" t="s">
        <v>47</v>
      </c>
      <c r="C86" s="5" t="s">
        <v>325</v>
      </c>
      <c r="D86" s="4" t="s">
        <v>326</v>
      </c>
      <c r="E86" s="4"/>
      <c r="F86" s="44" t="s">
        <v>281</v>
      </c>
      <c r="G86" s="49" t="s">
        <v>319</v>
      </c>
      <c r="H86" s="4">
        <v>7</v>
      </c>
      <c r="I86" s="4">
        <v>0</v>
      </c>
      <c r="J86" s="4">
        <f t="shared" si="8"/>
        <v>7</v>
      </c>
      <c r="K86" s="4">
        <v>20</v>
      </c>
      <c r="L86" s="70">
        <f t="shared" si="9"/>
        <v>0.35</v>
      </c>
      <c r="M86" s="71">
        <f t="shared" si="10"/>
        <v>1</v>
      </c>
      <c r="N86" s="32"/>
      <c r="O86" s="4">
        <v>1</v>
      </c>
      <c r="P86" s="5">
        <v>38</v>
      </c>
      <c r="Q86" s="4">
        <v>2</v>
      </c>
    </row>
    <row r="87" spans="1:17" ht="15.75" hidden="1" customHeight="1">
      <c r="A87" s="28">
        <v>2</v>
      </c>
      <c r="B87" s="13" t="s">
        <v>47</v>
      </c>
      <c r="C87" s="5" t="s">
        <v>325</v>
      </c>
      <c r="D87" s="4" t="s">
        <v>326</v>
      </c>
      <c r="E87" s="4"/>
      <c r="F87" s="60" t="s">
        <v>22</v>
      </c>
      <c r="G87" s="49" t="s">
        <v>322</v>
      </c>
      <c r="H87" s="4">
        <v>7</v>
      </c>
      <c r="I87" s="4">
        <v>42</v>
      </c>
      <c r="J87" s="4">
        <f t="shared" si="8"/>
        <v>49</v>
      </c>
      <c r="K87" s="4">
        <v>20</v>
      </c>
      <c r="L87" s="70">
        <f t="shared" si="9"/>
        <v>0.35</v>
      </c>
      <c r="M87" s="71">
        <f t="shared" si="10"/>
        <v>0.14285714285714285</v>
      </c>
      <c r="N87" s="32"/>
      <c r="O87" s="4">
        <v>2.5</v>
      </c>
      <c r="P87" s="5">
        <v>6</v>
      </c>
      <c r="Q87" s="4">
        <v>3</v>
      </c>
    </row>
    <row r="88" spans="1:17" ht="15.75" hidden="1" customHeight="1">
      <c r="A88" s="28">
        <v>2</v>
      </c>
      <c r="B88" s="13" t="s">
        <v>47</v>
      </c>
      <c r="C88" s="5" t="s">
        <v>325</v>
      </c>
      <c r="D88" s="4" t="s">
        <v>326</v>
      </c>
      <c r="E88" s="4"/>
      <c r="F88" s="74" t="s">
        <v>24</v>
      </c>
      <c r="G88" s="49" t="s">
        <v>323</v>
      </c>
      <c r="H88" s="4">
        <v>5</v>
      </c>
      <c r="I88" s="4">
        <v>75</v>
      </c>
      <c r="J88" s="4">
        <f t="shared" si="8"/>
        <v>80</v>
      </c>
      <c r="K88" s="4">
        <v>20</v>
      </c>
      <c r="L88" s="70">
        <f t="shared" si="9"/>
        <v>0.25</v>
      </c>
      <c r="M88" s="71">
        <f t="shared" si="10"/>
        <v>6.25E-2</v>
      </c>
      <c r="N88" s="32"/>
      <c r="O88" s="4">
        <v>4.5</v>
      </c>
      <c r="P88" s="5">
        <v>5</v>
      </c>
      <c r="Q88" s="4">
        <v>4</v>
      </c>
    </row>
    <row r="89" spans="1:17" ht="15.75" hidden="1" customHeight="1">
      <c r="A89" s="28">
        <v>2</v>
      </c>
      <c r="B89" s="13" t="s">
        <v>47</v>
      </c>
      <c r="C89" s="5" t="s">
        <v>325</v>
      </c>
      <c r="D89" s="4" t="s">
        <v>326</v>
      </c>
      <c r="E89" s="4"/>
      <c r="F89" s="3" t="s">
        <v>164</v>
      </c>
      <c r="G89" s="49" t="s">
        <v>324</v>
      </c>
      <c r="H89" s="4">
        <v>8</v>
      </c>
      <c r="I89" s="4">
        <v>25</v>
      </c>
      <c r="J89" s="4">
        <f t="shared" si="8"/>
        <v>33</v>
      </c>
      <c r="K89" s="4">
        <v>20</v>
      </c>
      <c r="L89" s="70">
        <f t="shared" si="9"/>
        <v>0.4</v>
      </c>
      <c r="M89" s="71">
        <f t="shared" si="10"/>
        <v>0.24242424242424243</v>
      </c>
      <c r="N89" s="32"/>
      <c r="O89" s="4">
        <v>5</v>
      </c>
      <c r="P89" s="5">
        <v>6</v>
      </c>
      <c r="Q89" s="4">
        <v>5</v>
      </c>
    </row>
    <row r="90" spans="1:17" ht="15.75" hidden="1" customHeight="1">
      <c r="A90" s="28">
        <v>2</v>
      </c>
      <c r="B90" s="13" t="s">
        <v>47</v>
      </c>
      <c r="C90" s="5" t="s">
        <v>325</v>
      </c>
      <c r="D90" s="4" t="s">
        <v>326</v>
      </c>
      <c r="E90" s="4"/>
      <c r="F90" s="76" t="s">
        <v>28</v>
      </c>
      <c r="G90" s="49" t="s">
        <v>306</v>
      </c>
      <c r="H90" s="4"/>
      <c r="I90" s="4"/>
      <c r="J90" s="4"/>
      <c r="K90" s="4">
        <v>20</v>
      </c>
      <c r="L90" s="70"/>
      <c r="M90" s="71"/>
      <c r="N90" s="32"/>
      <c r="O90" s="4">
        <v>9</v>
      </c>
      <c r="P90" s="5">
        <v>15</v>
      </c>
      <c r="Q90" s="4">
        <v>6</v>
      </c>
    </row>
    <row r="91" spans="1:17" ht="15.75" hidden="1" customHeight="1">
      <c r="A91" s="28">
        <v>2</v>
      </c>
      <c r="B91" s="68" t="s">
        <v>47</v>
      </c>
      <c r="C91" s="5" t="s">
        <v>327</v>
      </c>
      <c r="D91" s="4" t="s">
        <v>328</v>
      </c>
      <c r="E91" s="233" t="s">
        <v>329</v>
      </c>
      <c r="F91" s="69" t="s">
        <v>14</v>
      </c>
      <c r="G91" s="49" t="s">
        <v>318</v>
      </c>
      <c r="H91" s="4">
        <v>78</v>
      </c>
      <c r="I91" s="4">
        <v>80</v>
      </c>
      <c r="J91" s="4">
        <f t="shared" ref="J91:J95" si="11">H91+I91</f>
        <v>158</v>
      </c>
      <c r="K91" s="4">
        <v>80</v>
      </c>
      <c r="L91" s="70">
        <f t="shared" ref="L91:L95" si="12">H91/K91</f>
        <v>0.97499999999999998</v>
      </c>
      <c r="M91" s="71">
        <f t="shared" ref="M91:M95" si="13">H91/J91</f>
        <v>0.49367088607594939</v>
      </c>
      <c r="N91" s="32"/>
      <c r="O91" s="4">
        <v>1</v>
      </c>
      <c r="P91" s="5">
        <v>39</v>
      </c>
      <c r="Q91" s="4">
        <v>1</v>
      </c>
    </row>
    <row r="92" spans="1:17" ht="15.75" hidden="1" customHeight="1">
      <c r="A92" s="28">
        <v>2</v>
      </c>
      <c r="B92" s="13" t="s">
        <v>47</v>
      </c>
      <c r="C92" s="5" t="s">
        <v>327</v>
      </c>
      <c r="D92" s="4" t="s">
        <v>328</v>
      </c>
      <c r="E92" s="229"/>
      <c r="F92" s="44" t="s">
        <v>281</v>
      </c>
      <c r="G92" s="49" t="s">
        <v>319</v>
      </c>
      <c r="H92" s="4">
        <v>38</v>
      </c>
      <c r="I92" s="4">
        <v>10</v>
      </c>
      <c r="J92" s="4">
        <f t="shared" si="11"/>
        <v>48</v>
      </c>
      <c r="K92" s="4">
        <v>80</v>
      </c>
      <c r="L92" s="70">
        <f t="shared" si="12"/>
        <v>0.47499999999999998</v>
      </c>
      <c r="M92" s="71">
        <f t="shared" si="13"/>
        <v>0.79166666666666663</v>
      </c>
      <c r="N92" s="32"/>
      <c r="O92" s="4">
        <v>2</v>
      </c>
      <c r="P92" s="5">
        <v>40</v>
      </c>
      <c r="Q92" s="4">
        <v>2</v>
      </c>
    </row>
    <row r="93" spans="1:17" ht="15.75" hidden="1" customHeight="1">
      <c r="A93" s="28">
        <v>2</v>
      </c>
      <c r="B93" s="13" t="s">
        <v>47</v>
      </c>
      <c r="C93" s="5" t="s">
        <v>327</v>
      </c>
      <c r="D93" s="4" t="s">
        <v>328</v>
      </c>
      <c r="E93" s="229"/>
      <c r="F93" s="54" t="s">
        <v>13</v>
      </c>
      <c r="G93" s="49" t="s">
        <v>318</v>
      </c>
      <c r="H93" s="4">
        <v>42</v>
      </c>
      <c r="I93" s="4">
        <v>200</v>
      </c>
      <c r="J93" s="4">
        <f t="shared" si="11"/>
        <v>242</v>
      </c>
      <c r="K93" s="4">
        <v>80</v>
      </c>
      <c r="L93" s="70">
        <f t="shared" si="12"/>
        <v>0.52500000000000002</v>
      </c>
      <c r="M93" s="71">
        <f t="shared" si="13"/>
        <v>0.17355371900826447</v>
      </c>
      <c r="N93" s="32"/>
      <c r="O93" s="4">
        <v>20</v>
      </c>
      <c r="P93" s="5">
        <v>28</v>
      </c>
      <c r="Q93" s="4">
        <v>3</v>
      </c>
    </row>
    <row r="94" spans="1:17" ht="15.75" hidden="1" customHeight="1">
      <c r="A94" s="28">
        <v>2</v>
      </c>
      <c r="B94" s="13" t="s">
        <v>47</v>
      </c>
      <c r="C94" s="5" t="s">
        <v>327</v>
      </c>
      <c r="D94" s="4" t="s">
        <v>328</v>
      </c>
      <c r="E94" s="229"/>
      <c r="F94" s="60" t="s">
        <v>22</v>
      </c>
      <c r="G94" s="49" t="s">
        <v>322</v>
      </c>
      <c r="H94" s="4">
        <v>70</v>
      </c>
      <c r="I94" s="4">
        <v>280</v>
      </c>
      <c r="J94" s="4">
        <f t="shared" si="11"/>
        <v>350</v>
      </c>
      <c r="K94" s="4">
        <v>80</v>
      </c>
      <c r="L94" s="70">
        <f t="shared" si="12"/>
        <v>0.875</v>
      </c>
      <c r="M94" s="71">
        <f t="shared" si="13"/>
        <v>0.2</v>
      </c>
      <c r="N94" s="32"/>
      <c r="O94" s="4">
        <v>25</v>
      </c>
      <c r="P94" s="5">
        <v>5</v>
      </c>
      <c r="Q94" s="4">
        <v>4</v>
      </c>
    </row>
    <row r="95" spans="1:17" ht="15.75" hidden="1" customHeight="1">
      <c r="A95" s="28">
        <v>2</v>
      </c>
      <c r="B95" s="13" t="s">
        <v>47</v>
      </c>
      <c r="C95" s="5" t="s">
        <v>327</v>
      </c>
      <c r="D95" s="4" t="s">
        <v>328</v>
      </c>
      <c r="E95" s="229"/>
      <c r="F95" s="74" t="s">
        <v>24</v>
      </c>
      <c r="G95" s="49" t="s">
        <v>323</v>
      </c>
      <c r="H95" s="4">
        <v>60</v>
      </c>
      <c r="I95" s="4">
        <v>350</v>
      </c>
      <c r="J95" s="4">
        <f t="shared" si="11"/>
        <v>410</v>
      </c>
      <c r="K95" s="4">
        <v>80</v>
      </c>
      <c r="L95" s="70">
        <f t="shared" si="12"/>
        <v>0.75</v>
      </c>
      <c r="M95" s="71">
        <f t="shared" si="13"/>
        <v>0.14634146341463414</v>
      </c>
      <c r="N95" s="32"/>
      <c r="O95" s="4">
        <v>48</v>
      </c>
      <c r="P95" s="5">
        <v>8</v>
      </c>
      <c r="Q95" s="4">
        <v>5</v>
      </c>
    </row>
    <row r="96" spans="1:17" ht="15.75" hidden="1" customHeight="1">
      <c r="A96" s="28">
        <v>2</v>
      </c>
      <c r="B96" s="13" t="s">
        <v>47</v>
      </c>
      <c r="C96" s="5" t="s">
        <v>327</v>
      </c>
      <c r="D96" s="4" t="s">
        <v>328</v>
      </c>
      <c r="E96" s="229"/>
      <c r="F96" s="76" t="s">
        <v>28</v>
      </c>
      <c r="G96" s="49" t="s">
        <v>306</v>
      </c>
      <c r="H96" s="4"/>
      <c r="I96" s="4"/>
      <c r="J96" s="4"/>
      <c r="K96" s="4">
        <v>80</v>
      </c>
      <c r="L96" s="70"/>
      <c r="M96" s="71"/>
      <c r="N96" s="32"/>
      <c r="O96" s="4">
        <v>50</v>
      </c>
      <c r="P96" s="5">
        <v>18</v>
      </c>
      <c r="Q96" s="4">
        <v>6</v>
      </c>
    </row>
    <row r="97" spans="1:17" ht="15.75" hidden="1" customHeight="1">
      <c r="A97" s="28">
        <v>2</v>
      </c>
      <c r="B97" s="13" t="s">
        <v>47</v>
      </c>
      <c r="C97" s="5" t="s">
        <v>327</v>
      </c>
      <c r="D97" s="4" t="s">
        <v>328</v>
      </c>
      <c r="E97" s="232"/>
      <c r="F97" s="3" t="s">
        <v>164</v>
      </c>
      <c r="G97" s="49" t="s">
        <v>324</v>
      </c>
      <c r="H97" s="4">
        <v>44</v>
      </c>
      <c r="I97" s="4">
        <v>280</v>
      </c>
      <c r="J97" s="4">
        <f>H97+I97</f>
        <v>324</v>
      </c>
      <c r="K97" s="4">
        <v>80</v>
      </c>
      <c r="L97" s="70">
        <f t="shared" ref="L97:L135" si="14">H97/K97</f>
        <v>0.55000000000000004</v>
      </c>
      <c r="M97" s="71">
        <f>H97/J97</f>
        <v>0.13580246913580246</v>
      </c>
      <c r="N97" s="32"/>
      <c r="O97" s="4">
        <v>148</v>
      </c>
      <c r="P97" s="5">
        <v>10</v>
      </c>
      <c r="Q97" s="4">
        <v>7</v>
      </c>
    </row>
    <row r="98" spans="1:17" ht="15.75" hidden="1" customHeight="1">
      <c r="A98" s="28">
        <v>2</v>
      </c>
      <c r="B98" s="68" t="s">
        <v>47</v>
      </c>
      <c r="C98" s="5" t="s">
        <v>330</v>
      </c>
      <c r="D98" s="4" t="s">
        <v>293</v>
      </c>
      <c r="E98" s="4"/>
      <c r="F98" s="69" t="s">
        <v>14</v>
      </c>
      <c r="G98" s="49" t="s">
        <v>318</v>
      </c>
      <c r="H98" s="77">
        <v>55</v>
      </c>
      <c r="I98" s="4"/>
      <c r="J98" s="4"/>
      <c r="K98" s="77">
        <v>56</v>
      </c>
      <c r="L98" s="70">
        <f t="shared" si="14"/>
        <v>0.9821428571428571</v>
      </c>
      <c r="M98" s="71"/>
      <c r="N98" s="32"/>
      <c r="O98" s="78"/>
      <c r="P98" s="78"/>
    </row>
    <row r="99" spans="1:17" ht="15.75" hidden="1" customHeight="1">
      <c r="A99" s="28">
        <v>2</v>
      </c>
      <c r="B99" s="13" t="s">
        <v>47</v>
      </c>
      <c r="C99" s="5" t="s">
        <v>330</v>
      </c>
      <c r="D99" s="4" t="s">
        <v>293</v>
      </c>
      <c r="E99" s="4"/>
      <c r="F99" s="54" t="s">
        <v>13</v>
      </c>
      <c r="G99" s="49" t="s">
        <v>318</v>
      </c>
      <c r="H99" s="4">
        <v>54</v>
      </c>
      <c r="I99" s="4"/>
      <c r="J99" s="4"/>
      <c r="K99" s="77">
        <v>56</v>
      </c>
      <c r="L99" s="70">
        <f t="shared" si="14"/>
        <v>0.9642857142857143</v>
      </c>
      <c r="M99" s="71"/>
      <c r="N99" s="32"/>
      <c r="O99" s="4"/>
      <c r="P99" s="5"/>
    </row>
    <row r="100" spans="1:17" ht="15.75" hidden="1" customHeight="1">
      <c r="A100" s="28">
        <v>2</v>
      </c>
      <c r="B100" s="13" t="s">
        <v>47</v>
      </c>
      <c r="C100" s="5" t="s">
        <v>330</v>
      </c>
      <c r="D100" s="4" t="s">
        <v>293</v>
      </c>
      <c r="E100" s="4"/>
      <c r="F100" s="74" t="s">
        <v>24</v>
      </c>
      <c r="G100" s="49" t="s">
        <v>323</v>
      </c>
      <c r="H100" s="4">
        <v>49</v>
      </c>
      <c r="I100" s="4"/>
      <c r="J100" s="4"/>
      <c r="K100" s="77">
        <v>56</v>
      </c>
      <c r="L100" s="70">
        <f t="shared" si="14"/>
        <v>0.875</v>
      </c>
      <c r="M100" s="71"/>
      <c r="N100" s="32"/>
      <c r="O100" s="4"/>
      <c r="P100" s="5"/>
    </row>
    <row r="101" spans="1:17" ht="15.75" hidden="1" customHeight="1">
      <c r="A101" s="28">
        <v>2</v>
      </c>
      <c r="B101" s="13" t="s">
        <v>47</v>
      </c>
      <c r="C101" s="5" t="s">
        <v>330</v>
      </c>
      <c r="D101" s="4" t="s">
        <v>293</v>
      </c>
      <c r="E101" s="4"/>
      <c r="F101" s="76" t="s">
        <v>28</v>
      </c>
      <c r="G101" s="49" t="s">
        <v>306</v>
      </c>
      <c r="H101" s="4">
        <v>49</v>
      </c>
      <c r="I101" s="4"/>
      <c r="J101" s="4"/>
      <c r="K101" s="77">
        <v>56</v>
      </c>
      <c r="L101" s="70">
        <f t="shared" si="14"/>
        <v>0.875</v>
      </c>
      <c r="M101" s="71"/>
      <c r="N101" s="32"/>
      <c r="O101" s="4"/>
      <c r="P101" s="5"/>
    </row>
    <row r="102" spans="1:17" ht="15.75" hidden="1" customHeight="1">
      <c r="A102" s="28">
        <v>2</v>
      </c>
      <c r="B102" s="13" t="s">
        <v>47</v>
      </c>
      <c r="C102" s="5" t="s">
        <v>330</v>
      </c>
      <c r="D102" s="4" t="s">
        <v>293</v>
      </c>
      <c r="E102" s="4"/>
      <c r="F102" s="3" t="s">
        <v>164</v>
      </c>
      <c r="G102" s="49" t="s">
        <v>324</v>
      </c>
      <c r="H102" s="4">
        <v>51</v>
      </c>
      <c r="I102" s="4"/>
      <c r="J102" s="4"/>
      <c r="K102" s="77">
        <v>56</v>
      </c>
      <c r="L102" s="70">
        <f t="shared" si="14"/>
        <v>0.9107142857142857</v>
      </c>
      <c r="M102" s="71"/>
      <c r="N102" s="32"/>
      <c r="O102" s="4"/>
      <c r="P102" s="5"/>
    </row>
    <row r="103" spans="1:17" ht="15.75" hidden="1" customHeight="1">
      <c r="A103" s="28">
        <v>2</v>
      </c>
      <c r="B103" s="13" t="s">
        <v>47</v>
      </c>
      <c r="C103" s="5" t="s">
        <v>330</v>
      </c>
      <c r="D103" s="4" t="s">
        <v>293</v>
      </c>
      <c r="E103" s="4"/>
      <c r="F103" s="44" t="s">
        <v>281</v>
      </c>
      <c r="G103" s="49" t="s">
        <v>319</v>
      </c>
      <c r="H103" s="4">
        <v>49</v>
      </c>
      <c r="I103" s="4"/>
      <c r="J103" s="4"/>
      <c r="K103" s="77">
        <v>56</v>
      </c>
      <c r="L103" s="70">
        <f t="shared" si="14"/>
        <v>0.875</v>
      </c>
      <c r="M103" s="71"/>
      <c r="N103" s="32"/>
      <c r="O103" s="4"/>
      <c r="P103" s="5"/>
    </row>
    <row r="104" spans="1:17" ht="15.75" hidden="1" customHeight="1">
      <c r="A104" s="28">
        <v>2</v>
      </c>
      <c r="B104" s="13" t="s">
        <v>47</v>
      </c>
      <c r="C104" s="5" t="s">
        <v>330</v>
      </c>
      <c r="D104" s="4" t="s">
        <v>293</v>
      </c>
      <c r="E104" s="4"/>
      <c r="F104" s="60" t="s">
        <v>22</v>
      </c>
      <c r="G104" s="49" t="s">
        <v>322</v>
      </c>
      <c r="H104" s="4">
        <v>48</v>
      </c>
      <c r="I104" s="4"/>
      <c r="J104" s="4"/>
      <c r="K104" s="77">
        <v>56</v>
      </c>
      <c r="L104" s="70">
        <f t="shared" si="14"/>
        <v>0.8571428571428571</v>
      </c>
      <c r="M104" s="71"/>
      <c r="N104" s="32"/>
      <c r="O104" s="4"/>
      <c r="P104" s="5"/>
    </row>
    <row r="105" spans="1:17" ht="15.75" hidden="1" customHeight="1">
      <c r="A105" s="28">
        <v>2</v>
      </c>
      <c r="B105" s="68" t="s">
        <v>47</v>
      </c>
      <c r="C105" s="5" t="s">
        <v>331</v>
      </c>
      <c r="D105" s="4" t="s">
        <v>293</v>
      </c>
      <c r="E105" s="4"/>
      <c r="F105" s="69" t="s">
        <v>14</v>
      </c>
      <c r="G105" s="49" t="s">
        <v>318</v>
      </c>
      <c r="H105" s="4">
        <v>9</v>
      </c>
      <c r="I105" s="4"/>
      <c r="J105" s="4"/>
      <c r="K105" s="4">
        <v>9</v>
      </c>
      <c r="L105" s="70">
        <f t="shared" si="14"/>
        <v>1</v>
      </c>
      <c r="M105" s="71"/>
      <c r="N105" s="32"/>
      <c r="O105" s="4"/>
      <c r="P105" s="5"/>
    </row>
    <row r="106" spans="1:17" ht="15.75" hidden="1" customHeight="1">
      <c r="A106" s="28">
        <v>2</v>
      </c>
      <c r="B106" s="13" t="s">
        <v>47</v>
      </c>
      <c r="C106" s="5" t="s">
        <v>331</v>
      </c>
      <c r="D106" s="4" t="s">
        <v>293</v>
      </c>
      <c r="E106" s="4"/>
      <c r="F106" s="54" t="s">
        <v>13</v>
      </c>
      <c r="G106" s="49" t="s">
        <v>318</v>
      </c>
      <c r="H106" s="4">
        <v>3</v>
      </c>
      <c r="I106" s="4"/>
      <c r="J106" s="4"/>
      <c r="K106" s="4">
        <v>9</v>
      </c>
      <c r="L106" s="70">
        <f t="shared" si="14"/>
        <v>0.33333333333333331</v>
      </c>
      <c r="M106" s="71"/>
      <c r="N106" s="32"/>
      <c r="O106" s="4"/>
      <c r="P106" s="5"/>
    </row>
    <row r="107" spans="1:17" ht="15.75" hidden="1" customHeight="1">
      <c r="A107" s="28">
        <v>2</v>
      </c>
      <c r="B107" s="13" t="s">
        <v>47</v>
      </c>
      <c r="C107" s="5" t="s">
        <v>331</v>
      </c>
      <c r="D107" s="4" t="s">
        <v>293</v>
      </c>
      <c r="E107" s="4"/>
      <c r="F107" s="74" t="s">
        <v>24</v>
      </c>
      <c r="G107" s="49" t="s">
        <v>323</v>
      </c>
      <c r="H107" s="4">
        <v>5</v>
      </c>
      <c r="I107" s="4"/>
      <c r="J107" s="4"/>
      <c r="K107" s="4">
        <v>9</v>
      </c>
      <c r="L107" s="70">
        <f t="shared" si="14"/>
        <v>0.55555555555555558</v>
      </c>
      <c r="M107" s="71"/>
      <c r="N107" s="32"/>
      <c r="O107" s="4"/>
      <c r="P107" s="5"/>
    </row>
    <row r="108" spans="1:17" ht="15.75" hidden="1" customHeight="1">
      <c r="A108" s="28">
        <v>2</v>
      </c>
      <c r="B108" s="13" t="s">
        <v>47</v>
      </c>
      <c r="C108" s="5" t="s">
        <v>331</v>
      </c>
      <c r="D108" s="4" t="s">
        <v>293</v>
      </c>
      <c r="E108" s="4"/>
      <c r="F108" s="76" t="s">
        <v>28</v>
      </c>
      <c r="G108" s="49" t="s">
        <v>306</v>
      </c>
      <c r="H108" s="4">
        <v>0</v>
      </c>
      <c r="I108" s="4"/>
      <c r="J108" s="4"/>
      <c r="K108" s="4">
        <v>9</v>
      </c>
      <c r="L108" s="70">
        <f t="shared" si="14"/>
        <v>0</v>
      </c>
      <c r="M108" s="71"/>
      <c r="N108" s="32"/>
      <c r="O108" s="4"/>
      <c r="P108" s="5"/>
    </row>
    <row r="109" spans="1:17" ht="15.75" hidden="1" customHeight="1">
      <c r="A109" s="28">
        <v>2</v>
      </c>
      <c r="B109" s="13" t="s">
        <v>47</v>
      </c>
      <c r="C109" s="5" t="s">
        <v>331</v>
      </c>
      <c r="D109" s="4" t="s">
        <v>293</v>
      </c>
      <c r="E109" s="4"/>
      <c r="F109" s="3" t="s">
        <v>164</v>
      </c>
      <c r="G109" s="49" t="s">
        <v>324</v>
      </c>
      <c r="H109" s="4">
        <v>0</v>
      </c>
      <c r="I109" s="4"/>
      <c r="J109" s="4"/>
      <c r="K109" s="4">
        <v>9</v>
      </c>
      <c r="L109" s="70">
        <f t="shared" si="14"/>
        <v>0</v>
      </c>
      <c r="M109" s="71"/>
      <c r="N109" s="32"/>
      <c r="O109" s="4"/>
      <c r="P109" s="5"/>
    </row>
    <row r="110" spans="1:17" ht="15.75" hidden="1" customHeight="1">
      <c r="A110" s="28">
        <v>2</v>
      </c>
      <c r="B110" s="13" t="s">
        <v>47</v>
      </c>
      <c r="C110" s="5" t="s">
        <v>331</v>
      </c>
      <c r="D110" s="4" t="s">
        <v>293</v>
      </c>
      <c r="E110" s="4"/>
      <c r="F110" s="44" t="s">
        <v>281</v>
      </c>
      <c r="G110" s="49" t="s">
        <v>319</v>
      </c>
      <c r="H110" s="4">
        <v>4</v>
      </c>
      <c r="I110" s="4"/>
      <c r="J110" s="4"/>
      <c r="K110" s="4">
        <v>9</v>
      </c>
      <c r="L110" s="70">
        <f t="shared" si="14"/>
        <v>0.44444444444444442</v>
      </c>
      <c r="M110" s="71"/>
      <c r="N110" s="32"/>
      <c r="O110" s="4"/>
      <c r="P110" s="5"/>
    </row>
    <row r="111" spans="1:17" ht="15.75" hidden="1" customHeight="1">
      <c r="A111" s="28">
        <v>2</v>
      </c>
      <c r="B111" s="13" t="s">
        <v>47</v>
      </c>
      <c r="C111" s="5" t="s">
        <v>331</v>
      </c>
      <c r="D111" s="4" t="s">
        <v>293</v>
      </c>
      <c r="E111" s="4"/>
      <c r="F111" s="60" t="s">
        <v>22</v>
      </c>
      <c r="G111" s="49" t="s">
        <v>322</v>
      </c>
      <c r="H111" s="4">
        <v>2</v>
      </c>
      <c r="I111" s="4"/>
      <c r="J111" s="4"/>
      <c r="K111" s="4">
        <v>9</v>
      </c>
      <c r="L111" s="70">
        <f t="shared" si="14"/>
        <v>0.22222222222222221</v>
      </c>
      <c r="M111" s="71"/>
      <c r="N111" s="32"/>
      <c r="O111" s="4"/>
      <c r="P111" s="5"/>
    </row>
    <row r="112" spans="1:17" ht="15.75" hidden="1" customHeight="1">
      <c r="A112" s="4">
        <v>3</v>
      </c>
      <c r="B112" s="13" t="s">
        <v>64</v>
      </c>
      <c r="C112" s="5" t="s">
        <v>332</v>
      </c>
      <c r="D112" s="4" t="s">
        <v>293</v>
      </c>
      <c r="E112" s="228" t="s">
        <v>333</v>
      </c>
      <c r="F112" s="79" t="s">
        <v>91</v>
      </c>
      <c r="G112" s="49" t="s">
        <v>334</v>
      </c>
      <c r="H112" s="5">
        <v>0</v>
      </c>
      <c r="I112" s="4"/>
      <c r="J112" s="4"/>
      <c r="K112" s="4">
        <v>44</v>
      </c>
      <c r="L112" s="71">
        <f t="shared" si="14"/>
        <v>0</v>
      </c>
      <c r="M112" s="4"/>
      <c r="N112" s="80"/>
      <c r="O112" s="71">
        <v>0.71666666666666667</v>
      </c>
      <c r="P112" s="71">
        <v>11.929259999999999</v>
      </c>
      <c r="Q112" s="13">
        <v>1</v>
      </c>
    </row>
    <row r="113" spans="1:17" ht="15.75" hidden="1" customHeight="1">
      <c r="A113" s="4">
        <v>3</v>
      </c>
      <c r="B113" s="13" t="s">
        <v>64</v>
      </c>
      <c r="C113" s="5" t="s">
        <v>332</v>
      </c>
      <c r="D113" s="4" t="s">
        <v>293</v>
      </c>
      <c r="E113" s="229"/>
      <c r="F113" s="56" t="s">
        <v>16</v>
      </c>
      <c r="G113" s="49" t="s">
        <v>335</v>
      </c>
      <c r="H113" s="5">
        <v>26</v>
      </c>
      <c r="I113" s="4"/>
      <c r="J113" s="4"/>
      <c r="K113" s="4">
        <v>44</v>
      </c>
      <c r="L113" s="71">
        <f t="shared" si="14"/>
        <v>0.59090909090909094</v>
      </c>
      <c r="M113" s="4"/>
      <c r="N113" s="80"/>
      <c r="O113" s="71">
        <v>4.2</v>
      </c>
      <c r="P113" s="71">
        <v>5.2531280000000002</v>
      </c>
      <c r="Q113" s="13">
        <v>2</v>
      </c>
    </row>
    <row r="114" spans="1:17" ht="15.75" hidden="1" customHeight="1">
      <c r="A114" s="4">
        <v>3</v>
      </c>
      <c r="B114" s="13" t="s">
        <v>64</v>
      </c>
      <c r="C114" s="5" t="s">
        <v>332</v>
      </c>
      <c r="D114" s="4" t="s">
        <v>293</v>
      </c>
      <c r="E114" s="229"/>
      <c r="F114" s="54" t="s">
        <v>13</v>
      </c>
      <c r="G114" s="49" t="s">
        <v>336</v>
      </c>
      <c r="H114" s="5">
        <v>3</v>
      </c>
      <c r="I114" s="4"/>
      <c r="J114" s="4"/>
      <c r="K114" s="4">
        <v>44</v>
      </c>
      <c r="L114" s="71">
        <f t="shared" si="14"/>
        <v>6.8181818181818177E-2</v>
      </c>
      <c r="M114" s="4"/>
      <c r="N114" s="80"/>
      <c r="O114" s="71">
        <v>6.05</v>
      </c>
      <c r="P114" s="71">
        <v>19.335380000000001</v>
      </c>
      <c r="Q114" s="13">
        <v>3</v>
      </c>
    </row>
    <row r="115" spans="1:17" ht="15.75" hidden="1" customHeight="1">
      <c r="A115" s="4">
        <v>3</v>
      </c>
      <c r="B115" s="13" t="s">
        <v>64</v>
      </c>
      <c r="C115" s="5" t="s">
        <v>332</v>
      </c>
      <c r="D115" s="4" t="s">
        <v>293</v>
      </c>
      <c r="E115" s="229"/>
      <c r="F115" s="81" t="s">
        <v>79</v>
      </c>
      <c r="G115" s="49" t="s">
        <v>337</v>
      </c>
      <c r="H115" s="5">
        <v>31</v>
      </c>
      <c r="I115" s="4"/>
      <c r="J115" s="4"/>
      <c r="K115" s="4">
        <v>44</v>
      </c>
      <c r="L115" s="71">
        <f t="shared" si="14"/>
        <v>0.70454545454545459</v>
      </c>
      <c r="M115" s="4"/>
      <c r="N115" s="80"/>
      <c r="O115" s="71">
        <v>9.5</v>
      </c>
      <c r="P115" s="71">
        <v>3.7132360000000002</v>
      </c>
      <c r="Q115" s="13">
        <v>4</v>
      </c>
    </row>
    <row r="116" spans="1:17" ht="15.75" hidden="1" customHeight="1">
      <c r="A116" s="4">
        <v>3</v>
      </c>
      <c r="B116" s="13" t="s">
        <v>64</v>
      </c>
      <c r="C116" s="5" t="s">
        <v>332</v>
      </c>
      <c r="D116" s="4" t="s">
        <v>293</v>
      </c>
      <c r="E116" s="229"/>
      <c r="F116" s="58" t="s">
        <v>88</v>
      </c>
      <c r="G116" s="49" t="s">
        <v>305</v>
      </c>
      <c r="H116" s="5">
        <v>9</v>
      </c>
      <c r="I116" s="4"/>
      <c r="J116" s="4"/>
      <c r="K116" s="4">
        <v>44</v>
      </c>
      <c r="L116" s="71">
        <f t="shared" si="14"/>
        <v>0.20454545454545456</v>
      </c>
      <c r="M116" s="4"/>
      <c r="N116" s="80"/>
      <c r="O116" s="71">
        <v>12.116666666666667</v>
      </c>
      <c r="P116" s="71">
        <v>4.5205880000000001</v>
      </c>
      <c r="Q116" s="13">
        <v>5</v>
      </c>
    </row>
    <row r="117" spans="1:17" ht="15.75" hidden="1" customHeight="1">
      <c r="A117" s="4">
        <v>3</v>
      </c>
      <c r="B117" s="13" t="s">
        <v>64</v>
      </c>
      <c r="C117" s="5" t="s">
        <v>332</v>
      </c>
      <c r="D117" s="4" t="s">
        <v>293</v>
      </c>
      <c r="E117" s="229"/>
      <c r="F117" s="57" t="s">
        <v>82</v>
      </c>
      <c r="G117" s="49" t="s">
        <v>338</v>
      </c>
      <c r="H117" s="5">
        <v>0</v>
      </c>
      <c r="I117" s="4"/>
      <c r="J117" s="4"/>
      <c r="K117" s="4">
        <v>44</v>
      </c>
      <c r="L117" s="71">
        <f t="shared" si="14"/>
        <v>0</v>
      </c>
      <c r="M117" s="4"/>
      <c r="N117" s="80"/>
      <c r="O117" s="71">
        <v>12.7</v>
      </c>
      <c r="P117" s="71">
        <v>6.7404679999999999</v>
      </c>
      <c r="Q117" s="13">
        <v>6</v>
      </c>
    </row>
    <row r="118" spans="1:17" ht="15.75" hidden="1" customHeight="1">
      <c r="A118" s="4">
        <v>3</v>
      </c>
      <c r="B118" s="13" t="s">
        <v>64</v>
      </c>
      <c r="C118" s="5" t="s">
        <v>332</v>
      </c>
      <c r="D118" s="4" t="s">
        <v>293</v>
      </c>
      <c r="E118" s="229"/>
      <c r="F118" s="3" t="s">
        <v>164</v>
      </c>
      <c r="G118" s="49" t="s">
        <v>310</v>
      </c>
      <c r="H118" s="5">
        <v>0</v>
      </c>
      <c r="I118" s="4"/>
      <c r="J118" s="4"/>
      <c r="K118" s="4">
        <v>44</v>
      </c>
      <c r="L118" s="71">
        <f t="shared" si="14"/>
        <v>0</v>
      </c>
      <c r="M118" s="4"/>
      <c r="N118" s="80"/>
      <c r="O118" s="71">
        <v>15.683333333333334</v>
      </c>
      <c r="P118" s="71">
        <v>15.854343999999999</v>
      </c>
      <c r="Q118" s="13">
        <v>7</v>
      </c>
    </row>
    <row r="119" spans="1:17" ht="15.75" customHeight="1">
      <c r="A119" s="4">
        <v>3</v>
      </c>
      <c r="B119" s="13" t="s">
        <v>64</v>
      </c>
      <c r="C119" s="5" t="s">
        <v>332</v>
      </c>
      <c r="D119" s="4" t="s">
        <v>293</v>
      </c>
      <c r="E119" s="229"/>
      <c r="F119" s="86" t="s">
        <v>99</v>
      </c>
      <c r="G119" s="49" t="s">
        <v>339</v>
      </c>
      <c r="H119" s="5">
        <v>0</v>
      </c>
      <c r="I119" s="4"/>
      <c r="J119" s="4"/>
      <c r="K119" s="4">
        <v>44</v>
      </c>
      <c r="L119" s="71">
        <f t="shared" si="14"/>
        <v>0</v>
      </c>
      <c r="M119" s="4"/>
      <c r="N119" s="80"/>
      <c r="O119" s="71">
        <v>32.366666666666667</v>
      </c>
      <c r="P119" s="71">
        <v>4.031104</v>
      </c>
      <c r="Q119" s="13">
        <v>8</v>
      </c>
    </row>
    <row r="120" spans="1:17" ht="15.75" hidden="1" customHeight="1">
      <c r="A120" s="4">
        <v>3</v>
      </c>
      <c r="B120" s="13" t="s">
        <v>64</v>
      </c>
      <c r="C120" s="5" t="s">
        <v>332</v>
      </c>
      <c r="D120" s="4" t="s">
        <v>293</v>
      </c>
      <c r="E120" s="229"/>
      <c r="F120" s="4" t="s">
        <v>76</v>
      </c>
      <c r="G120" s="49"/>
      <c r="H120" s="5">
        <v>5</v>
      </c>
      <c r="I120" s="4"/>
      <c r="J120" s="4"/>
      <c r="K120" s="4">
        <v>44</v>
      </c>
      <c r="L120" s="71">
        <f t="shared" si="14"/>
        <v>0.11363636363636363</v>
      </c>
      <c r="M120" s="4"/>
      <c r="N120" s="80"/>
      <c r="O120" s="71">
        <v>38.966666666666669</v>
      </c>
      <c r="P120" s="71">
        <v>9.9734639999999999</v>
      </c>
      <c r="Q120" s="13">
        <v>9</v>
      </c>
    </row>
    <row r="121" spans="1:17" ht="15.75" hidden="1" customHeight="1">
      <c r="A121" s="4">
        <v>3</v>
      </c>
      <c r="B121" s="13" t="s">
        <v>64</v>
      </c>
      <c r="C121" s="5" t="s">
        <v>332</v>
      </c>
      <c r="D121" s="4" t="s">
        <v>293</v>
      </c>
      <c r="E121" s="229"/>
      <c r="F121" s="83" t="s">
        <v>25</v>
      </c>
      <c r="G121" s="84" t="s">
        <v>340</v>
      </c>
      <c r="H121" s="5">
        <v>0</v>
      </c>
      <c r="I121" s="4"/>
      <c r="J121" s="4"/>
      <c r="K121" s="4">
        <v>44</v>
      </c>
      <c r="L121" s="71">
        <f t="shared" si="14"/>
        <v>0</v>
      </c>
      <c r="M121" s="4"/>
      <c r="N121" s="80"/>
      <c r="O121" s="71">
        <v>43.733333333333334</v>
      </c>
      <c r="P121" s="71">
        <v>5.4971040000000002</v>
      </c>
      <c r="Q121" s="13">
        <v>10</v>
      </c>
    </row>
    <row r="122" spans="1:17" ht="15.75" hidden="1" customHeight="1">
      <c r="A122" s="4">
        <v>3</v>
      </c>
      <c r="B122" s="13" t="s">
        <v>64</v>
      </c>
      <c r="C122" s="5" t="s">
        <v>332</v>
      </c>
      <c r="D122" s="4" t="s">
        <v>293</v>
      </c>
      <c r="E122" s="229"/>
      <c r="F122" s="59" t="s">
        <v>92</v>
      </c>
      <c r="G122" s="49">
        <v>1.06</v>
      </c>
      <c r="H122" s="5">
        <v>1</v>
      </c>
      <c r="I122" s="4"/>
      <c r="J122" s="4"/>
      <c r="K122" s="4">
        <v>44</v>
      </c>
      <c r="L122" s="71">
        <f t="shared" si="14"/>
        <v>2.2727272727272728E-2</v>
      </c>
      <c r="M122" s="4"/>
      <c r="N122" s="80"/>
      <c r="O122" s="71">
        <v>66.266666666666666</v>
      </c>
      <c r="P122" s="71">
        <v>44.342635999999999</v>
      </c>
      <c r="Q122" s="13">
        <v>11</v>
      </c>
    </row>
    <row r="123" spans="1:17" ht="15.75" hidden="1" customHeight="1">
      <c r="A123" s="4">
        <v>3</v>
      </c>
      <c r="B123" s="13" t="s">
        <v>64</v>
      </c>
      <c r="C123" s="5" t="s">
        <v>332</v>
      </c>
      <c r="D123" s="4" t="s">
        <v>293</v>
      </c>
      <c r="E123" s="232"/>
      <c r="F123" s="4" t="s">
        <v>72</v>
      </c>
      <c r="G123" s="49" t="s">
        <v>341</v>
      </c>
      <c r="H123" s="5">
        <v>0</v>
      </c>
      <c r="I123" s="4"/>
      <c r="J123" s="4"/>
      <c r="K123" s="4">
        <v>44</v>
      </c>
      <c r="L123" s="71">
        <f t="shared" si="14"/>
        <v>0</v>
      </c>
      <c r="M123" s="4"/>
      <c r="N123" s="4"/>
      <c r="O123" s="4"/>
      <c r="P123" s="5"/>
      <c r="Q123" s="13">
        <v>12</v>
      </c>
    </row>
    <row r="124" spans="1:17" ht="15.75" hidden="1" customHeight="1">
      <c r="A124" s="4">
        <v>3</v>
      </c>
      <c r="B124" s="13" t="s">
        <v>64</v>
      </c>
      <c r="C124" s="5" t="s">
        <v>342</v>
      </c>
      <c r="D124" s="4" t="s">
        <v>279</v>
      </c>
      <c r="E124" s="4"/>
      <c r="F124" s="81" t="s">
        <v>79</v>
      </c>
      <c r="G124" s="49" t="s">
        <v>337</v>
      </c>
      <c r="H124" s="5">
        <v>4</v>
      </c>
      <c r="I124" s="4"/>
      <c r="J124" s="4"/>
      <c r="K124" s="4">
        <v>50</v>
      </c>
      <c r="L124" s="71">
        <f t="shared" si="14"/>
        <v>0.08</v>
      </c>
      <c r="M124" s="71"/>
      <c r="N124" s="32"/>
      <c r="O124" s="71">
        <v>0.05</v>
      </c>
      <c r="P124" s="5">
        <v>2.75</v>
      </c>
      <c r="Q124" s="13">
        <v>1</v>
      </c>
    </row>
    <row r="125" spans="1:17" ht="15.75" hidden="1" customHeight="1">
      <c r="A125" s="4">
        <v>3</v>
      </c>
      <c r="B125" s="13" t="s">
        <v>64</v>
      </c>
      <c r="C125" s="5" t="s">
        <v>342</v>
      </c>
      <c r="D125" s="4" t="s">
        <v>279</v>
      </c>
      <c r="E125" s="4"/>
      <c r="F125" s="56" t="s">
        <v>16</v>
      </c>
      <c r="G125" s="49" t="s">
        <v>335</v>
      </c>
      <c r="H125" s="5">
        <v>39</v>
      </c>
      <c r="I125" s="4"/>
      <c r="J125" s="4"/>
      <c r="K125" s="4">
        <v>50</v>
      </c>
      <c r="L125" s="71">
        <f t="shared" si="14"/>
        <v>0.78</v>
      </c>
      <c r="M125" s="71"/>
      <c r="N125" s="32"/>
      <c r="O125" s="71">
        <v>0.05</v>
      </c>
      <c r="P125" s="5">
        <v>0.23</v>
      </c>
      <c r="Q125" s="13">
        <v>1</v>
      </c>
    </row>
    <row r="126" spans="1:17" ht="15.75" hidden="1" customHeight="1">
      <c r="A126" s="4">
        <v>3</v>
      </c>
      <c r="B126" s="13" t="s">
        <v>64</v>
      </c>
      <c r="C126" s="5" t="s">
        <v>342</v>
      </c>
      <c r="D126" s="4" t="s">
        <v>279</v>
      </c>
      <c r="E126" s="4"/>
      <c r="F126" s="83" t="s">
        <v>25</v>
      </c>
      <c r="G126" s="84" t="s">
        <v>340</v>
      </c>
      <c r="H126" s="5">
        <v>43</v>
      </c>
      <c r="I126" s="4"/>
      <c r="J126" s="4"/>
      <c r="K126" s="4">
        <v>50</v>
      </c>
      <c r="L126" s="71">
        <f t="shared" si="14"/>
        <v>0.86</v>
      </c>
      <c r="M126" s="71"/>
      <c r="N126" s="32"/>
      <c r="O126" s="71">
        <v>0.05</v>
      </c>
      <c r="P126" s="5">
        <v>5.35</v>
      </c>
      <c r="Q126" s="13">
        <v>1</v>
      </c>
    </row>
    <row r="127" spans="1:17" ht="15.75" hidden="1" customHeight="1">
      <c r="A127" s="4">
        <v>3</v>
      </c>
      <c r="B127" s="13" t="s">
        <v>64</v>
      </c>
      <c r="C127" s="5" t="s">
        <v>342</v>
      </c>
      <c r="D127" s="4" t="s">
        <v>279</v>
      </c>
      <c r="E127" s="4"/>
      <c r="F127" s="4" t="s">
        <v>72</v>
      </c>
      <c r="G127" s="49" t="s">
        <v>341</v>
      </c>
      <c r="H127" s="5">
        <v>33</v>
      </c>
      <c r="I127" s="4"/>
      <c r="J127" s="4">
        <v>42</v>
      </c>
      <c r="K127" s="4">
        <v>50</v>
      </c>
      <c r="L127" s="71">
        <f t="shared" si="14"/>
        <v>0.66</v>
      </c>
      <c r="M127" s="71">
        <f>H127/J127</f>
        <v>0.7857142857142857</v>
      </c>
      <c r="N127" s="32"/>
      <c r="O127" s="71">
        <v>0.1</v>
      </c>
      <c r="P127" s="5">
        <v>9.25</v>
      </c>
      <c r="Q127" s="13">
        <v>2</v>
      </c>
    </row>
    <row r="128" spans="1:17" ht="15.75" hidden="1" customHeight="1">
      <c r="A128" s="4">
        <v>3</v>
      </c>
      <c r="B128" s="13" t="s">
        <v>64</v>
      </c>
      <c r="C128" s="5" t="s">
        <v>342</v>
      </c>
      <c r="D128" s="4" t="s">
        <v>279</v>
      </c>
      <c r="E128" s="4"/>
      <c r="F128" s="59" t="s">
        <v>92</v>
      </c>
      <c r="G128" s="49">
        <v>1.06</v>
      </c>
      <c r="H128" s="5">
        <v>44</v>
      </c>
      <c r="I128" s="4"/>
      <c r="J128" s="4"/>
      <c r="K128" s="4">
        <v>50</v>
      </c>
      <c r="L128" s="71">
        <f t="shared" si="14"/>
        <v>0.88</v>
      </c>
      <c r="M128" s="71"/>
      <c r="N128" s="32"/>
      <c r="O128" s="71">
        <v>0.11666666666666667</v>
      </c>
      <c r="P128" s="5">
        <v>4.3</v>
      </c>
      <c r="Q128" s="13">
        <v>3</v>
      </c>
    </row>
    <row r="129" spans="1:17" ht="15.75" hidden="1" customHeight="1">
      <c r="A129" s="4">
        <v>3</v>
      </c>
      <c r="B129" s="13" t="s">
        <v>64</v>
      </c>
      <c r="C129" s="5" t="s">
        <v>342</v>
      </c>
      <c r="D129" s="4" t="s">
        <v>279</v>
      </c>
      <c r="E129" s="4"/>
      <c r="F129" s="58" t="s">
        <v>88</v>
      </c>
      <c r="G129" s="49" t="s">
        <v>305</v>
      </c>
      <c r="H129" s="5">
        <v>18</v>
      </c>
      <c r="I129" s="4"/>
      <c r="J129" s="4"/>
      <c r="K129" s="4">
        <v>50</v>
      </c>
      <c r="L129" s="71">
        <f t="shared" si="14"/>
        <v>0.36</v>
      </c>
      <c r="M129" s="71"/>
      <c r="N129" s="32"/>
      <c r="O129" s="71">
        <v>0.15</v>
      </c>
      <c r="P129" s="5">
        <v>2.31</v>
      </c>
      <c r="Q129" s="13">
        <v>4</v>
      </c>
    </row>
    <row r="130" spans="1:17" ht="15.75" hidden="1" customHeight="1">
      <c r="A130" s="4">
        <v>3</v>
      </c>
      <c r="B130" s="13" t="s">
        <v>64</v>
      </c>
      <c r="C130" s="5" t="s">
        <v>342</v>
      </c>
      <c r="D130" s="4" t="s">
        <v>279</v>
      </c>
      <c r="E130" s="4"/>
      <c r="F130" s="54" t="s">
        <v>13</v>
      </c>
      <c r="G130" s="49" t="s">
        <v>336</v>
      </c>
      <c r="H130" s="5">
        <v>33</v>
      </c>
      <c r="I130" s="4"/>
      <c r="J130" s="4"/>
      <c r="K130" s="4">
        <v>50</v>
      </c>
      <c r="L130" s="71">
        <f t="shared" si="14"/>
        <v>0.66</v>
      </c>
      <c r="M130" s="71"/>
      <c r="N130" s="32"/>
      <c r="O130" s="71">
        <v>0.18333333333333332</v>
      </c>
      <c r="P130" s="5">
        <v>11.67</v>
      </c>
      <c r="Q130" s="13">
        <v>5</v>
      </c>
    </row>
    <row r="131" spans="1:17" ht="15.75" customHeight="1">
      <c r="A131" s="4">
        <v>3</v>
      </c>
      <c r="B131" s="13" t="s">
        <v>64</v>
      </c>
      <c r="C131" s="5" t="s">
        <v>342</v>
      </c>
      <c r="D131" s="4" t="s">
        <v>279</v>
      </c>
      <c r="E131" s="4"/>
      <c r="F131" s="86" t="s">
        <v>99</v>
      </c>
      <c r="G131" s="49" t="s">
        <v>339</v>
      </c>
      <c r="H131" s="5">
        <v>26</v>
      </c>
      <c r="I131" s="4"/>
      <c r="J131" s="4"/>
      <c r="K131" s="4">
        <v>50</v>
      </c>
      <c r="L131" s="71">
        <f t="shared" si="14"/>
        <v>0.52</v>
      </c>
      <c r="M131" s="71"/>
      <c r="N131" s="32"/>
      <c r="O131" s="71">
        <v>0.25</v>
      </c>
      <c r="P131" s="5">
        <v>2.3199999999999998</v>
      </c>
      <c r="Q131" s="13">
        <v>6</v>
      </c>
    </row>
    <row r="132" spans="1:17" ht="15.75" hidden="1" customHeight="1">
      <c r="A132" s="4">
        <v>3</v>
      </c>
      <c r="B132" s="13" t="s">
        <v>64</v>
      </c>
      <c r="C132" s="5" t="s">
        <v>342</v>
      </c>
      <c r="D132" s="4" t="s">
        <v>279</v>
      </c>
      <c r="E132" s="4"/>
      <c r="F132" s="79" t="s">
        <v>91</v>
      </c>
      <c r="G132" s="49" t="s">
        <v>334</v>
      </c>
      <c r="H132" s="5">
        <v>28</v>
      </c>
      <c r="I132" s="4"/>
      <c r="J132" s="4"/>
      <c r="K132" s="4">
        <v>50</v>
      </c>
      <c r="L132" s="71">
        <f t="shared" si="14"/>
        <v>0.56000000000000005</v>
      </c>
      <c r="M132" s="71"/>
      <c r="N132" s="32"/>
      <c r="O132" s="71">
        <v>0.31666666666666665</v>
      </c>
      <c r="P132" s="5">
        <v>11.84</v>
      </c>
      <c r="Q132" s="13">
        <v>7</v>
      </c>
    </row>
    <row r="133" spans="1:17" ht="15.75" hidden="1" customHeight="1">
      <c r="A133" s="4">
        <v>3</v>
      </c>
      <c r="B133" s="13" t="s">
        <v>64</v>
      </c>
      <c r="C133" s="5" t="s">
        <v>342</v>
      </c>
      <c r="D133" s="4" t="s">
        <v>279</v>
      </c>
      <c r="E133" s="4"/>
      <c r="F133" s="57" t="s">
        <v>82</v>
      </c>
      <c r="G133" s="49" t="s">
        <v>338</v>
      </c>
      <c r="H133" s="5">
        <v>15</v>
      </c>
      <c r="I133" s="4"/>
      <c r="J133" s="4"/>
      <c r="K133" s="4">
        <v>50</v>
      </c>
      <c r="L133" s="71">
        <f t="shared" si="14"/>
        <v>0.3</v>
      </c>
      <c r="M133" s="71"/>
      <c r="N133" s="32"/>
      <c r="O133" s="71">
        <v>0.76666666666666672</v>
      </c>
      <c r="P133" s="5">
        <v>12.59</v>
      </c>
      <c r="Q133" s="13">
        <v>8</v>
      </c>
    </row>
    <row r="134" spans="1:17" ht="15.75" hidden="1" customHeight="1">
      <c r="A134" s="4">
        <v>3</v>
      </c>
      <c r="B134" s="13" t="s">
        <v>64</v>
      </c>
      <c r="C134" s="5" t="s">
        <v>342</v>
      </c>
      <c r="D134" s="4" t="s">
        <v>279</v>
      </c>
      <c r="E134" s="4"/>
      <c r="F134" s="3" t="s">
        <v>164</v>
      </c>
      <c r="G134" s="49" t="s">
        <v>310</v>
      </c>
      <c r="H134" s="5">
        <v>41</v>
      </c>
      <c r="I134" s="4"/>
      <c r="J134" s="4"/>
      <c r="K134" s="4">
        <v>50</v>
      </c>
      <c r="L134" s="71">
        <f t="shared" si="14"/>
        <v>0.82</v>
      </c>
      <c r="M134" s="71"/>
      <c r="N134" s="32"/>
      <c r="O134" s="71">
        <v>0.8666666666666667</v>
      </c>
      <c r="P134" s="5">
        <v>7.61</v>
      </c>
      <c r="Q134" s="13">
        <v>9</v>
      </c>
    </row>
    <row r="135" spans="1:17" ht="15.75" hidden="1" customHeight="1">
      <c r="A135" s="4">
        <v>3</v>
      </c>
      <c r="B135" s="13" t="s">
        <v>64</v>
      </c>
      <c r="C135" s="5" t="s">
        <v>342</v>
      </c>
      <c r="D135" s="4" t="s">
        <v>279</v>
      </c>
      <c r="E135" s="4"/>
      <c r="F135" s="4" t="s">
        <v>76</v>
      </c>
      <c r="G135" s="49"/>
      <c r="H135" s="5">
        <v>2</v>
      </c>
      <c r="I135" s="4"/>
      <c r="J135" s="4"/>
      <c r="K135" s="4">
        <v>50</v>
      </c>
      <c r="L135" s="71">
        <f t="shared" si="14"/>
        <v>0.04</v>
      </c>
      <c r="M135" s="71"/>
      <c r="N135" s="32"/>
      <c r="O135" s="71"/>
      <c r="P135" s="5"/>
    </row>
    <row r="136" spans="1:17" ht="15.75" hidden="1" customHeight="1">
      <c r="A136" s="4">
        <v>4</v>
      </c>
      <c r="B136" s="68" t="s">
        <v>102</v>
      </c>
      <c r="C136" s="5" t="s">
        <v>343</v>
      </c>
      <c r="D136" s="4" t="s">
        <v>293</v>
      </c>
      <c r="E136" s="234" t="s">
        <v>344</v>
      </c>
      <c r="F136" s="44" t="s">
        <v>10</v>
      </c>
      <c r="G136" s="49"/>
      <c r="H136" s="4"/>
      <c r="I136" s="4"/>
      <c r="J136" s="4"/>
      <c r="K136" s="4"/>
      <c r="L136" s="4">
        <v>0.69</v>
      </c>
      <c r="M136" s="71"/>
      <c r="N136" s="32"/>
      <c r="O136" s="71">
        <v>0.41666666666666669</v>
      </c>
      <c r="P136" s="5"/>
      <c r="Q136" s="13">
        <v>1</v>
      </c>
    </row>
    <row r="137" spans="1:17" ht="15.75" hidden="1" customHeight="1">
      <c r="A137" s="4">
        <v>4</v>
      </c>
      <c r="B137" s="68" t="s">
        <v>102</v>
      </c>
      <c r="C137" s="5" t="s">
        <v>343</v>
      </c>
      <c r="D137" s="4" t="s">
        <v>293</v>
      </c>
      <c r="E137" s="229"/>
      <c r="F137" s="49" t="s">
        <v>345</v>
      </c>
      <c r="G137" s="49"/>
      <c r="H137" s="4"/>
      <c r="I137" s="4"/>
      <c r="J137" s="4"/>
      <c r="K137" s="4"/>
      <c r="L137" s="4">
        <v>0.89</v>
      </c>
      <c r="M137" s="71"/>
      <c r="N137" s="32"/>
      <c r="O137" s="71">
        <v>0.58333333333333337</v>
      </c>
      <c r="P137" s="5"/>
      <c r="Q137" s="13">
        <v>2</v>
      </c>
    </row>
    <row r="138" spans="1:17" ht="15.75" hidden="1" customHeight="1">
      <c r="A138" s="4">
        <v>4</v>
      </c>
      <c r="B138" s="68" t="s">
        <v>102</v>
      </c>
      <c r="C138" s="5" t="s">
        <v>343</v>
      </c>
      <c r="D138" s="4" t="s">
        <v>293</v>
      </c>
      <c r="E138" s="229"/>
      <c r="F138" s="30" t="s">
        <v>107</v>
      </c>
      <c r="G138" s="49" t="s">
        <v>346</v>
      </c>
      <c r="H138" s="4"/>
      <c r="I138" s="4"/>
      <c r="J138" s="4"/>
      <c r="K138" s="4"/>
      <c r="L138" s="4">
        <v>0.65</v>
      </c>
      <c r="M138" s="71"/>
      <c r="N138" s="32"/>
      <c r="O138" s="71">
        <v>0.83333333333333337</v>
      </c>
      <c r="P138" s="5"/>
      <c r="Q138" s="13">
        <v>3</v>
      </c>
    </row>
    <row r="139" spans="1:17" ht="15.75" customHeight="1">
      <c r="A139" s="4">
        <v>4</v>
      </c>
      <c r="B139" s="13" t="s">
        <v>102</v>
      </c>
      <c r="C139" s="5" t="s">
        <v>343</v>
      </c>
      <c r="D139" s="4" t="s">
        <v>293</v>
      </c>
      <c r="E139" s="230"/>
      <c r="F139" s="86" t="s">
        <v>99</v>
      </c>
      <c r="G139" s="84" t="s">
        <v>339</v>
      </c>
      <c r="H139" s="4"/>
      <c r="I139" s="4"/>
      <c r="J139" s="4"/>
      <c r="K139" s="4"/>
      <c r="L139" s="4">
        <v>0.01</v>
      </c>
      <c r="M139" s="71"/>
      <c r="N139" s="32"/>
      <c r="O139" s="71">
        <v>0.83333333333333337</v>
      </c>
      <c r="P139" s="5"/>
      <c r="Q139" s="13">
        <v>3</v>
      </c>
    </row>
    <row r="140" spans="1:17" ht="15.75" hidden="1" customHeight="1">
      <c r="A140" s="4">
        <v>5</v>
      </c>
      <c r="B140" s="13" t="s">
        <v>111</v>
      </c>
      <c r="C140" s="5" t="s">
        <v>347</v>
      </c>
      <c r="D140" s="4" t="s">
        <v>293</v>
      </c>
      <c r="E140" s="4"/>
      <c r="F140" s="49" t="s">
        <v>348</v>
      </c>
      <c r="G140" s="49"/>
      <c r="H140" s="4">
        <v>28</v>
      </c>
      <c r="I140" s="87">
        <f t="shared" ref="I140:I144" si="15">J140-H140</f>
        <v>6</v>
      </c>
      <c r="J140" s="4">
        <v>34</v>
      </c>
      <c r="K140" s="4">
        <v>37</v>
      </c>
      <c r="L140" s="71">
        <f t="shared" ref="L140:L144" si="16">H140/K140</f>
        <v>0.7567567567567568</v>
      </c>
      <c r="M140" s="71">
        <f t="shared" ref="M140:M147" si="17">H140/J140</f>
        <v>0.82352941176470584</v>
      </c>
      <c r="N140" s="32">
        <f t="shared" ref="N140:N147" si="18">2*M140*L140/(M140+L140)</f>
        <v>0.78873239436619713</v>
      </c>
      <c r="O140" s="4"/>
      <c r="P140" s="5"/>
    </row>
    <row r="141" spans="1:17" ht="15.75" customHeight="1">
      <c r="A141" s="4">
        <v>5</v>
      </c>
      <c r="B141" s="13" t="s">
        <v>111</v>
      </c>
      <c r="C141" s="5" t="s">
        <v>347</v>
      </c>
      <c r="D141" s="4" t="s">
        <v>293</v>
      </c>
      <c r="E141" s="4"/>
      <c r="F141" s="86" t="s">
        <v>99</v>
      </c>
      <c r="G141" s="49"/>
      <c r="H141" s="4">
        <v>30</v>
      </c>
      <c r="I141" s="87">
        <f t="shared" si="15"/>
        <v>36</v>
      </c>
      <c r="J141" s="4">
        <v>66</v>
      </c>
      <c r="K141" s="4">
        <v>37</v>
      </c>
      <c r="L141" s="71">
        <f t="shared" si="16"/>
        <v>0.81081081081081086</v>
      </c>
      <c r="M141" s="71">
        <f t="shared" si="17"/>
        <v>0.45454545454545453</v>
      </c>
      <c r="N141" s="32">
        <f t="shared" si="18"/>
        <v>0.58252427184466016</v>
      </c>
      <c r="O141" s="4"/>
      <c r="P141" s="5"/>
    </row>
    <row r="142" spans="1:17" ht="15.75" hidden="1" customHeight="1">
      <c r="A142" s="4">
        <v>5</v>
      </c>
      <c r="B142" s="13" t="s">
        <v>111</v>
      </c>
      <c r="C142" s="5" t="s">
        <v>347</v>
      </c>
      <c r="D142" s="4" t="s">
        <v>293</v>
      </c>
      <c r="E142" s="4"/>
      <c r="F142" s="88" t="s">
        <v>124</v>
      </c>
      <c r="G142" s="49"/>
      <c r="H142" s="4">
        <v>16</v>
      </c>
      <c r="I142" s="87">
        <f t="shared" si="15"/>
        <v>10</v>
      </c>
      <c r="J142" s="4">
        <v>26</v>
      </c>
      <c r="K142" s="4">
        <v>37</v>
      </c>
      <c r="L142" s="71">
        <f t="shared" si="16"/>
        <v>0.43243243243243246</v>
      </c>
      <c r="M142" s="71">
        <f t="shared" si="17"/>
        <v>0.61538461538461542</v>
      </c>
      <c r="N142" s="32">
        <f t="shared" si="18"/>
        <v>0.50793650793650791</v>
      </c>
      <c r="O142" s="4"/>
      <c r="P142" s="5"/>
    </row>
    <row r="143" spans="1:17" ht="15.75" hidden="1" customHeight="1">
      <c r="A143" s="4">
        <v>5</v>
      </c>
      <c r="B143" s="13" t="s">
        <v>111</v>
      </c>
      <c r="C143" s="5" t="s">
        <v>347</v>
      </c>
      <c r="D143" s="4" t="s">
        <v>293</v>
      </c>
      <c r="E143" s="4"/>
      <c r="F143" s="85" t="s">
        <v>128</v>
      </c>
      <c r="G143" s="49"/>
      <c r="H143" s="4">
        <v>21</v>
      </c>
      <c r="I143" s="87">
        <f t="shared" si="15"/>
        <v>16</v>
      </c>
      <c r="J143" s="4">
        <v>37</v>
      </c>
      <c r="K143" s="4">
        <v>37</v>
      </c>
      <c r="L143" s="71">
        <f t="shared" si="16"/>
        <v>0.56756756756756754</v>
      </c>
      <c r="M143" s="71">
        <f t="shared" si="17"/>
        <v>0.56756756756756754</v>
      </c>
      <c r="N143" s="32">
        <f t="shared" si="18"/>
        <v>0.56756756756756754</v>
      </c>
      <c r="O143" s="4"/>
      <c r="P143" s="5"/>
    </row>
    <row r="144" spans="1:17" ht="15.75" hidden="1" customHeight="1">
      <c r="A144" s="4">
        <v>5</v>
      </c>
      <c r="B144" s="13" t="s">
        <v>111</v>
      </c>
      <c r="C144" s="5" t="s">
        <v>347</v>
      </c>
      <c r="D144" s="4" t="s">
        <v>293</v>
      </c>
      <c r="E144" s="4"/>
      <c r="F144" s="89" t="s">
        <v>132</v>
      </c>
      <c r="G144" s="49"/>
      <c r="H144" s="4">
        <v>30</v>
      </c>
      <c r="I144" s="87">
        <f t="shared" si="15"/>
        <v>8</v>
      </c>
      <c r="J144" s="4">
        <v>38</v>
      </c>
      <c r="K144" s="4">
        <v>37</v>
      </c>
      <c r="L144" s="71">
        <f t="shared" si="16"/>
        <v>0.81081081081081086</v>
      </c>
      <c r="M144" s="71">
        <f t="shared" si="17"/>
        <v>0.78947368421052633</v>
      </c>
      <c r="N144" s="32">
        <f t="shared" si="18"/>
        <v>0.8</v>
      </c>
      <c r="O144" s="4"/>
      <c r="P144" s="5"/>
    </row>
    <row r="145" spans="1:17" ht="15.75" hidden="1" customHeight="1">
      <c r="A145" s="4">
        <v>5</v>
      </c>
      <c r="B145" s="13" t="s">
        <v>111</v>
      </c>
      <c r="C145" s="5" t="s">
        <v>349</v>
      </c>
      <c r="D145" s="4" t="s">
        <v>114</v>
      </c>
      <c r="E145" s="4"/>
      <c r="F145" s="49" t="s">
        <v>348</v>
      </c>
      <c r="G145" s="49"/>
      <c r="H145" s="4">
        <v>6</v>
      </c>
      <c r="I145" s="4">
        <v>28</v>
      </c>
      <c r="J145" s="4">
        <f t="shared" ref="J145:J147" si="19">H145+I145</f>
        <v>34</v>
      </c>
      <c r="K145" s="4"/>
      <c r="L145" s="71"/>
      <c r="M145" s="71">
        <f t="shared" si="17"/>
        <v>0.17647058823529413</v>
      </c>
      <c r="N145" s="32">
        <f t="shared" si="18"/>
        <v>0</v>
      </c>
      <c r="O145" s="4"/>
      <c r="P145" s="5"/>
    </row>
    <row r="146" spans="1:17" ht="15.75" customHeight="1">
      <c r="A146" s="4">
        <v>5</v>
      </c>
      <c r="B146" s="13" t="s">
        <v>111</v>
      </c>
      <c r="C146" s="5" t="s">
        <v>349</v>
      </c>
      <c r="D146" s="4" t="s">
        <v>114</v>
      </c>
      <c r="E146" s="4"/>
      <c r="F146" s="86" t="s">
        <v>99</v>
      </c>
      <c r="G146" s="49"/>
      <c r="H146" s="4">
        <v>3</v>
      </c>
      <c r="I146" s="4">
        <v>71</v>
      </c>
      <c r="J146" s="4">
        <f t="shared" si="19"/>
        <v>74</v>
      </c>
      <c r="K146" s="4"/>
      <c r="L146" s="71"/>
      <c r="M146" s="71">
        <f t="shared" si="17"/>
        <v>4.0540540540540543E-2</v>
      </c>
      <c r="N146" s="32">
        <f t="shared" si="18"/>
        <v>0</v>
      </c>
      <c r="O146" s="4"/>
      <c r="P146" s="5"/>
    </row>
    <row r="147" spans="1:17" ht="15.75" hidden="1" customHeight="1">
      <c r="A147" s="4">
        <v>5</v>
      </c>
      <c r="B147" s="13" t="s">
        <v>111</v>
      </c>
      <c r="C147" s="5" t="s">
        <v>349</v>
      </c>
      <c r="D147" s="4" t="s">
        <v>114</v>
      </c>
      <c r="E147" s="4"/>
      <c r="F147" s="88" t="s">
        <v>124</v>
      </c>
      <c r="G147" s="49"/>
      <c r="H147" s="4">
        <v>5</v>
      </c>
      <c r="I147" s="4">
        <v>221</v>
      </c>
      <c r="J147" s="4">
        <f t="shared" si="19"/>
        <v>226</v>
      </c>
      <c r="K147" s="4"/>
      <c r="L147" s="71"/>
      <c r="M147" s="71">
        <f t="shared" si="17"/>
        <v>2.2123893805309734E-2</v>
      </c>
      <c r="N147" s="32">
        <f t="shared" si="18"/>
        <v>0</v>
      </c>
      <c r="O147" s="4"/>
      <c r="P147" s="5"/>
    </row>
    <row r="148" spans="1:17" ht="15.75" hidden="1" customHeight="1">
      <c r="A148" s="4">
        <v>5</v>
      </c>
      <c r="B148" s="13" t="s">
        <v>111</v>
      </c>
      <c r="C148" s="5" t="s">
        <v>349</v>
      </c>
      <c r="D148" s="4" t="s">
        <v>114</v>
      </c>
      <c r="E148" s="4"/>
      <c r="F148" s="85" t="s">
        <v>128</v>
      </c>
      <c r="G148" s="49"/>
      <c r="H148" s="28"/>
      <c r="I148" s="4"/>
      <c r="J148" s="4"/>
      <c r="K148" s="28"/>
      <c r="L148" s="4"/>
      <c r="M148" s="4"/>
      <c r="N148" s="32"/>
      <c r="O148" s="4"/>
      <c r="P148" s="5"/>
    </row>
    <row r="149" spans="1:17" ht="15.75" hidden="1" customHeight="1">
      <c r="A149" s="4">
        <v>5</v>
      </c>
      <c r="B149" s="13" t="s">
        <v>111</v>
      </c>
      <c r="C149" s="5" t="s">
        <v>349</v>
      </c>
      <c r="D149" s="4" t="s">
        <v>114</v>
      </c>
      <c r="E149" s="4"/>
      <c r="F149" s="89" t="s">
        <v>132</v>
      </c>
      <c r="G149" s="49"/>
      <c r="H149" s="28"/>
      <c r="I149" s="4"/>
      <c r="J149" s="4"/>
      <c r="K149" s="28"/>
      <c r="L149" s="4"/>
      <c r="M149" s="4"/>
      <c r="N149" s="32"/>
      <c r="O149" s="4"/>
      <c r="P149" s="5"/>
    </row>
    <row r="150" spans="1:17" ht="15.75" hidden="1" customHeight="1">
      <c r="A150" s="4">
        <v>5</v>
      </c>
      <c r="B150" s="13" t="s">
        <v>111</v>
      </c>
      <c r="C150" s="5" t="s">
        <v>350</v>
      </c>
      <c r="D150" s="4" t="s">
        <v>279</v>
      </c>
      <c r="E150" s="4"/>
      <c r="F150" s="49" t="s">
        <v>348</v>
      </c>
      <c r="G150" s="49"/>
      <c r="H150" s="4">
        <v>37</v>
      </c>
      <c r="I150" s="4">
        <v>7</v>
      </c>
      <c r="J150" s="4">
        <f t="shared" ref="J150:J154" si="20">H150+I150</f>
        <v>44</v>
      </c>
      <c r="K150" s="4">
        <v>42</v>
      </c>
      <c r="L150" s="71">
        <f t="shared" ref="L150:L178" si="21">H150/K150</f>
        <v>0.88095238095238093</v>
      </c>
      <c r="M150" s="71">
        <f t="shared" ref="M150:M156" si="22">H150/J150</f>
        <v>0.84090909090909094</v>
      </c>
      <c r="N150" s="32">
        <f t="shared" ref="N150:N156" si="23">2*M150*L150/(M150+L150)</f>
        <v>0.86046511627906985</v>
      </c>
      <c r="O150" s="4"/>
      <c r="P150" s="5"/>
    </row>
    <row r="151" spans="1:17" ht="15.75" customHeight="1">
      <c r="A151" s="4">
        <v>5</v>
      </c>
      <c r="B151" s="13" t="s">
        <v>111</v>
      </c>
      <c r="C151" s="5" t="s">
        <v>350</v>
      </c>
      <c r="D151" s="4" t="s">
        <v>279</v>
      </c>
      <c r="E151" s="4"/>
      <c r="F151" s="86" t="s">
        <v>99</v>
      </c>
      <c r="G151" s="49"/>
      <c r="H151" s="4">
        <v>35</v>
      </c>
      <c r="I151" s="4">
        <v>50</v>
      </c>
      <c r="J151" s="4">
        <f t="shared" si="20"/>
        <v>85</v>
      </c>
      <c r="K151" s="4">
        <v>42</v>
      </c>
      <c r="L151" s="71">
        <f t="shared" si="21"/>
        <v>0.83333333333333337</v>
      </c>
      <c r="M151" s="71">
        <f t="shared" si="22"/>
        <v>0.41176470588235292</v>
      </c>
      <c r="N151" s="32">
        <f t="shared" si="23"/>
        <v>0.55118110236220474</v>
      </c>
      <c r="O151" s="4"/>
      <c r="P151" s="5"/>
    </row>
    <row r="152" spans="1:17" ht="15.75" hidden="1" customHeight="1">
      <c r="A152" s="4">
        <v>5</v>
      </c>
      <c r="B152" s="13" t="s">
        <v>111</v>
      </c>
      <c r="C152" s="5" t="s">
        <v>350</v>
      </c>
      <c r="D152" s="4" t="s">
        <v>279</v>
      </c>
      <c r="E152" s="4"/>
      <c r="F152" s="88" t="s">
        <v>124</v>
      </c>
      <c r="G152" s="49"/>
      <c r="H152" s="4">
        <v>22</v>
      </c>
      <c r="I152" s="4">
        <v>160</v>
      </c>
      <c r="J152" s="4">
        <f t="shared" si="20"/>
        <v>182</v>
      </c>
      <c r="K152" s="4">
        <v>42</v>
      </c>
      <c r="L152" s="71">
        <f t="shared" si="21"/>
        <v>0.52380952380952384</v>
      </c>
      <c r="M152" s="71">
        <f t="shared" si="22"/>
        <v>0.12087912087912088</v>
      </c>
      <c r="N152" s="32">
        <f t="shared" si="23"/>
        <v>0.19642857142857142</v>
      </c>
      <c r="O152" s="4"/>
      <c r="P152" s="5"/>
    </row>
    <row r="153" spans="1:17" ht="15.75" hidden="1" customHeight="1">
      <c r="A153" s="4">
        <v>5</v>
      </c>
      <c r="B153" s="13" t="s">
        <v>111</v>
      </c>
      <c r="C153" s="5" t="s">
        <v>350</v>
      </c>
      <c r="D153" s="4" t="s">
        <v>279</v>
      </c>
      <c r="E153" s="4"/>
      <c r="F153" s="85" t="s">
        <v>128</v>
      </c>
      <c r="G153" s="49"/>
      <c r="H153" s="4">
        <v>22</v>
      </c>
      <c r="I153" s="4">
        <v>77</v>
      </c>
      <c r="J153" s="4">
        <f t="shared" si="20"/>
        <v>99</v>
      </c>
      <c r="K153" s="4">
        <v>42</v>
      </c>
      <c r="L153" s="71">
        <f t="shared" si="21"/>
        <v>0.52380952380952384</v>
      </c>
      <c r="M153" s="71">
        <f t="shared" si="22"/>
        <v>0.22222222222222221</v>
      </c>
      <c r="N153" s="32">
        <f t="shared" si="23"/>
        <v>0.31205673758865243</v>
      </c>
      <c r="O153" s="4"/>
      <c r="P153" s="5"/>
    </row>
    <row r="154" spans="1:17" ht="15.75" hidden="1" customHeight="1">
      <c r="A154" s="4">
        <v>5</v>
      </c>
      <c r="B154" s="13" t="s">
        <v>111</v>
      </c>
      <c r="C154" s="5" t="s">
        <v>350</v>
      </c>
      <c r="D154" s="4" t="s">
        <v>279</v>
      </c>
      <c r="E154" s="4"/>
      <c r="F154" s="89" t="s">
        <v>132</v>
      </c>
      <c r="G154" s="49"/>
      <c r="H154" s="4">
        <v>9</v>
      </c>
      <c r="I154" s="4">
        <v>13</v>
      </c>
      <c r="J154" s="4">
        <f t="shared" si="20"/>
        <v>22</v>
      </c>
      <c r="K154" s="4">
        <v>42</v>
      </c>
      <c r="L154" s="71">
        <f t="shared" si="21"/>
        <v>0.21428571428571427</v>
      </c>
      <c r="M154" s="71">
        <f t="shared" si="22"/>
        <v>0.40909090909090912</v>
      </c>
      <c r="N154" s="32">
        <f t="shared" si="23"/>
        <v>0.28125</v>
      </c>
      <c r="O154" s="4"/>
      <c r="P154" s="5"/>
    </row>
    <row r="155" spans="1:17" ht="15.75" hidden="1" customHeight="1">
      <c r="A155" s="4">
        <v>6</v>
      </c>
      <c r="B155" s="68" t="s">
        <v>139</v>
      </c>
      <c r="C155" s="90" t="s">
        <v>351</v>
      </c>
      <c r="D155" s="4" t="s">
        <v>293</v>
      </c>
      <c r="E155" s="228" t="s">
        <v>352</v>
      </c>
      <c r="F155" s="91" t="s">
        <v>150</v>
      </c>
      <c r="G155" s="49"/>
      <c r="H155" s="4">
        <v>22</v>
      </c>
      <c r="I155" s="4">
        <f t="shared" ref="I155:I179" si="24">J155-H155</f>
        <v>31</v>
      </c>
      <c r="J155" s="4">
        <v>53</v>
      </c>
      <c r="K155" s="4">
        <v>27</v>
      </c>
      <c r="L155" s="71">
        <f t="shared" si="21"/>
        <v>0.81481481481481477</v>
      </c>
      <c r="M155" s="92">
        <f t="shared" si="22"/>
        <v>0.41509433962264153</v>
      </c>
      <c r="N155" s="32">
        <f t="shared" si="23"/>
        <v>0.55000000000000004</v>
      </c>
      <c r="O155" s="5">
        <v>1.83</v>
      </c>
      <c r="P155" s="13">
        <v>7</v>
      </c>
      <c r="Q155" s="13">
        <v>1</v>
      </c>
    </row>
    <row r="156" spans="1:17" ht="15.75" hidden="1" customHeight="1">
      <c r="A156" s="4">
        <v>6</v>
      </c>
      <c r="B156" s="68" t="s">
        <v>139</v>
      </c>
      <c r="C156" s="90" t="s">
        <v>351</v>
      </c>
      <c r="D156" s="4" t="s">
        <v>293</v>
      </c>
      <c r="E156" s="229"/>
      <c r="F156" s="88" t="s">
        <v>91</v>
      </c>
      <c r="G156" s="49"/>
      <c r="H156" s="4">
        <v>12</v>
      </c>
      <c r="I156" s="4">
        <f t="shared" si="24"/>
        <v>35</v>
      </c>
      <c r="J156" s="4">
        <v>47</v>
      </c>
      <c r="K156" s="4">
        <v>27</v>
      </c>
      <c r="L156" s="71">
        <f t="shared" si="21"/>
        <v>0.44444444444444442</v>
      </c>
      <c r="M156" s="92">
        <f t="shared" si="22"/>
        <v>0.25531914893617019</v>
      </c>
      <c r="N156" s="32">
        <f t="shared" si="23"/>
        <v>0.32432432432432434</v>
      </c>
      <c r="O156" s="5">
        <v>4.08</v>
      </c>
      <c r="P156" s="13">
        <v>0.9</v>
      </c>
      <c r="Q156" s="13">
        <v>2</v>
      </c>
    </row>
    <row r="157" spans="1:17" ht="15.75" hidden="1" customHeight="1">
      <c r="A157" s="4">
        <v>6</v>
      </c>
      <c r="B157" s="68" t="s">
        <v>139</v>
      </c>
      <c r="C157" s="90" t="s">
        <v>351</v>
      </c>
      <c r="D157" s="4" t="s">
        <v>293</v>
      </c>
      <c r="E157" s="229"/>
      <c r="F157" s="4" t="s">
        <v>158</v>
      </c>
      <c r="G157" s="49"/>
      <c r="H157" s="4">
        <v>0</v>
      </c>
      <c r="I157" s="4">
        <f t="shared" si="24"/>
        <v>0</v>
      </c>
      <c r="J157" s="4">
        <v>0</v>
      </c>
      <c r="K157" s="4">
        <v>27</v>
      </c>
      <c r="L157" s="71">
        <f t="shared" si="21"/>
        <v>0</v>
      </c>
      <c r="M157" s="92"/>
      <c r="N157" s="92"/>
      <c r="O157" s="5">
        <v>136.04</v>
      </c>
      <c r="P157" s="13">
        <v>3.8</v>
      </c>
      <c r="Q157" s="13">
        <v>3</v>
      </c>
    </row>
    <row r="158" spans="1:17" ht="15.75" customHeight="1">
      <c r="A158" s="4">
        <v>6</v>
      </c>
      <c r="B158" s="13" t="s">
        <v>139</v>
      </c>
      <c r="C158" s="90" t="s">
        <v>351</v>
      </c>
      <c r="D158" s="4" t="s">
        <v>293</v>
      </c>
      <c r="E158" s="229"/>
      <c r="F158" s="86" t="s">
        <v>99</v>
      </c>
      <c r="G158" s="49"/>
      <c r="H158" s="4">
        <v>24</v>
      </c>
      <c r="I158" s="4">
        <f t="shared" si="24"/>
        <v>237</v>
      </c>
      <c r="J158" s="4">
        <v>261</v>
      </c>
      <c r="K158" s="4">
        <v>27</v>
      </c>
      <c r="L158" s="71">
        <f t="shared" si="21"/>
        <v>0.88888888888888884</v>
      </c>
      <c r="M158" s="92">
        <f t="shared" ref="M158:M162" si="25">H158/J158</f>
        <v>9.1954022988505746E-2</v>
      </c>
      <c r="N158" s="32">
        <f t="shared" ref="N158:N162" si="26">2*M158*L158/(M158+L158)</f>
        <v>0.16666666666666666</v>
      </c>
      <c r="O158" s="93"/>
      <c r="P158" s="5"/>
    </row>
    <row r="159" spans="1:17" ht="15.75" hidden="1" customHeight="1">
      <c r="A159" s="4">
        <v>6</v>
      </c>
      <c r="B159" s="13" t="s">
        <v>139</v>
      </c>
      <c r="C159" s="90" t="s">
        <v>351</v>
      </c>
      <c r="D159" s="4" t="s">
        <v>293</v>
      </c>
      <c r="E159" s="229"/>
      <c r="F159" s="3" t="s">
        <v>164</v>
      </c>
      <c r="G159" s="49"/>
      <c r="H159" s="4">
        <v>24</v>
      </c>
      <c r="I159" s="4">
        <f t="shared" si="24"/>
        <v>37</v>
      </c>
      <c r="J159" s="4">
        <v>61</v>
      </c>
      <c r="K159" s="4">
        <v>27</v>
      </c>
      <c r="L159" s="71">
        <f t="shared" si="21"/>
        <v>0.88888888888888884</v>
      </c>
      <c r="M159" s="92">
        <f t="shared" si="25"/>
        <v>0.39344262295081966</v>
      </c>
      <c r="N159" s="32">
        <f t="shared" si="26"/>
        <v>0.54545454545454553</v>
      </c>
      <c r="O159" s="4"/>
      <c r="P159" s="5"/>
    </row>
    <row r="160" spans="1:17" ht="15.75" hidden="1" customHeight="1">
      <c r="A160" s="4">
        <v>6</v>
      </c>
      <c r="B160" s="13" t="s">
        <v>139</v>
      </c>
      <c r="C160" s="90" t="s">
        <v>351</v>
      </c>
      <c r="D160" s="4" t="s">
        <v>293</v>
      </c>
      <c r="E160" s="232"/>
      <c r="F160" s="85" t="s">
        <v>92</v>
      </c>
      <c r="G160" s="49"/>
      <c r="H160" s="4">
        <v>20</v>
      </c>
      <c r="I160" s="4">
        <f t="shared" si="24"/>
        <v>22</v>
      </c>
      <c r="J160" s="4">
        <v>42</v>
      </c>
      <c r="K160" s="4">
        <v>27</v>
      </c>
      <c r="L160" s="71">
        <f t="shared" si="21"/>
        <v>0.7407407407407407</v>
      </c>
      <c r="M160" s="92">
        <f t="shared" si="25"/>
        <v>0.47619047619047616</v>
      </c>
      <c r="N160" s="32">
        <f t="shared" si="26"/>
        <v>0.57971014492753625</v>
      </c>
      <c r="O160" s="4"/>
      <c r="P160" s="5"/>
    </row>
    <row r="161" spans="1:16" ht="15.75" hidden="1" customHeight="1">
      <c r="A161" s="4">
        <v>6</v>
      </c>
      <c r="B161" s="13" t="s">
        <v>139</v>
      </c>
      <c r="C161" s="94" t="s">
        <v>353</v>
      </c>
      <c r="D161" s="4" t="s">
        <v>293</v>
      </c>
      <c r="E161" s="228" t="s">
        <v>352</v>
      </c>
      <c r="F161" s="91" t="s">
        <v>150</v>
      </c>
      <c r="G161" s="49"/>
      <c r="H161" s="4">
        <v>22</v>
      </c>
      <c r="I161" s="4">
        <f t="shared" si="24"/>
        <v>31</v>
      </c>
      <c r="J161" s="4">
        <v>53</v>
      </c>
      <c r="K161" s="4">
        <v>99</v>
      </c>
      <c r="L161" s="71">
        <f t="shared" si="21"/>
        <v>0.22222222222222221</v>
      </c>
      <c r="M161" s="92">
        <f t="shared" si="25"/>
        <v>0.41509433962264153</v>
      </c>
      <c r="N161" s="32">
        <f t="shared" si="26"/>
        <v>0.28947368421052633</v>
      </c>
      <c r="O161" s="4"/>
      <c r="P161" s="5"/>
    </row>
    <row r="162" spans="1:16" ht="15.75" hidden="1" customHeight="1">
      <c r="A162" s="4">
        <v>6</v>
      </c>
      <c r="B162" s="13" t="s">
        <v>139</v>
      </c>
      <c r="C162" s="94" t="s">
        <v>353</v>
      </c>
      <c r="D162" s="4" t="s">
        <v>293</v>
      </c>
      <c r="E162" s="229"/>
      <c r="F162" s="88" t="s">
        <v>91</v>
      </c>
      <c r="G162" s="49"/>
      <c r="H162" s="4">
        <v>22</v>
      </c>
      <c r="I162" s="4">
        <f t="shared" si="24"/>
        <v>25</v>
      </c>
      <c r="J162" s="4">
        <v>47</v>
      </c>
      <c r="K162" s="4">
        <v>99</v>
      </c>
      <c r="L162" s="71">
        <f t="shared" si="21"/>
        <v>0.22222222222222221</v>
      </c>
      <c r="M162" s="92">
        <f t="shared" si="25"/>
        <v>0.46808510638297873</v>
      </c>
      <c r="N162" s="32">
        <f t="shared" si="26"/>
        <v>0.30136986301369861</v>
      </c>
      <c r="O162" s="4"/>
      <c r="P162" s="5"/>
    </row>
    <row r="163" spans="1:16" ht="15.75" hidden="1" customHeight="1">
      <c r="A163" s="4">
        <v>6</v>
      </c>
      <c r="B163" s="13" t="s">
        <v>139</v>
      </c>
      <c r="C163" s="94" t="s">
        <v>353</v>
      </c>
      <c r="D163" s="4" t="s">
        <v>293</v>
      </c>
      <c r="E163" s="229"/>
      <c r="F163" s="4" t="s">
        <v>158</v>
      </c>
      <c r="G163" s="49"/>
      <c r="H163" s="4">
        <v>0</v>
      </c>
      <c r="I163" s="4">
        <f t="shared" si="24"/>
        <v>0</v>
      </c>
      <c r="J163" s="4">
        <v>0</v>
      </c>
      <c r="K163" s="4">
        <v>99</v>
      </c>
      <c r="L163" s="71">
        <f t="shared" si="21"/>
        <v>0</v>
      </c>
      <c r="M163" s="92"/>
      <c r="N163" s="92"/>
      <c r="O163" s="4"/>
      <c r="P163" s="5"/>
    </row>
    <row r="164" spans="1:16" ht="15.75" customHeight="1">
      <c r="A164" s="4">
        <v>6</v>
      </c>
      <c r="B164" s="13" t="s">
        <v>139</v>
      </c>
      <c r="C164" s="94" t="s">
        <v>353</v>
      </c>
      <c r="D164" s="4" t="s">
        <v>293</v>
      </c>
      <c r="E164" s="229"/>
      <c r="F164" s="86" t="s">
        <v>99</v>
      </c>
      <c r="G164" s="49"/>
      <c r="H164" s="4">
        <v>35</v>
      </c>
      <c r="I164" s="4">
        <f t="shared" si="24"/>
        <v>226</v>
      </c>
      <c r="J164" s="4">
        <v>261</v>
      </c>
      <c r="K164" s="4">
        <v>99</v>
      </c>
      <c r="L164" s="71">
        <f t="shared" si="21"/>
        <v>0.35353535353535354</v>
      </c>
      <c r="M164" s="92">
        <f t="shared" ref="M164:M168" si="27">H164/J164</f>
        <v>0.13409961685823754</v>
      </c>
      <c r="N164" s="32">
        <f t="shared" ref="N164:N168" si="28">2*M164*L164/(M164+L164)</f>
        <v>0.19444444444444445</v>
      </c>
      <c r="O164" s="4"/>
      <c r="P164" s="5"/>
    </row>
    <row r="165" spans="1:16" ht="15.75" hidden="1" customHeight="1">
      <c r="A165" s="4">
        <v>6</v>
      </c>
      <c r="B165" s="13" t="s">
        <v>139</v>
      </c>
      <c r="C165" s="94" t="s">
        <v>353</v>
      </c>
      <c r="D165" s="4" t="s">
        <v>293</v>
      </c>
      <c r="E165" s="229"/>
      <c r="F165" s="3" t="s">
        <v>164</v>
      </c>
      <c r="G165" s="49"/>
      <c r="H165" s="4">
        <v>41</v>
      </c>
      <c r="I165" s="4">
        <f t="shared" si="24"/>
        <v>20</v>
      </c>
      <c r="J165" s="4">
        <v>61</v>
      </c>
      <c r="K165" s="4">
        <v>99</v>
      </c>
      <c r="L165" s="71">
        <f t="shared" si="21"/>
        <v>0.41414141414141414</v>
      </c>
      <c r="M165" s="92">
        <f t="shared" si="27"/>
        <v>0.67213114754098358</v>
      </c>
      <c r="N165" s="32">
        <f t="shared" si="28"/>
        <v>0.51249999999999996</v>
      </c>
      <c r="O165" s="4"/>
      <c r="P165" s="5"/>
    </row>
    <row r="166" spans="1:16" ht="15.75" hidden="1" customHeight="1">
      <c r="A166" s="4">
        <v>6</v>
      </c>
      <c r="B166" s="13" t="s">
        <v>139</v>
      </c>
      <c r="C166" s="94" t="s">
        <v>353</v>
      </c>
      <c r="D166" s="4" t="s">
        <v>293</v>
      </c>
      <c r="E166" s="232"/>
      <c r="F166" s="85" t="s">
        <v>92</v>
      </c>
      <c r="G166" s="49"/>
      <c r="H166" s="4">
        <v>28</v>
      </c>
      <c r="I166" s="4">
        <f t="shared" si="24"/>
        <v>14</v>
      </c>
      <c r="J166" s="4">
        <v>42</v>
      </c>
      <c r="K166" s="4">
        <v>99</v>
      </c>
      <c r="L166" s="71">
        <f t="shared" si="21"/>
        <v>0.28282828282828282</v>
      </c>
      <c r="M166" s="92">
        <f t="shared" si="27"/>
        <v>0.66666666666666663</v>
      </c>
      <c r="N166" s="32">
        <f t="shared" si="28"/>
        <v>0.39716312056737585</v>
      </c>
      <c r="O166" s="4"/>
      <c r="P166" s="5"/>
    </row>
    <row r="167" spans="1:16" ht="15.75" hidden="1" customHeight="1">
      <c r="A167" s="4">
        <v>6</v>
      </c>
      <c r="B167" s="13" t="s">
        <v>139</v>
      </c>
      <c r="C167" s="5" t="s">
        <v>354</v>
      </c>
      <c r="D167" s="4" t="s">
        <v>293</v>
      </c>
      <c r="E167" s="4"/>
      <c r="F167" s="91" t="s">
        <v>150</v>
      </c>
      <c r="G167" s="49"/>
      <c r="H167" s="4">
        <v>7</v>
      </c>
      <c r="I167" s="4">
        <f t="shared" si="24"/>
        <v>14</v>
      </c>
      <c r="J167" s="4">
        <v>21</v>
      </c>
      <c r="K167" s="4">
        <v>11</v>
      </c>
      <c r="L167" s="32">
        <f t="shared" si="21"/>
        <v>0.63636363636363635</v>
      </c>
      <c r="M167" s="92">
        <f t="shared" si="27"/>
        <v>0.33333333333333331</v>
      </c>
      <c r="N167" s="32">
        <f t="shared" si="28"/>
        <v>0.43749999999999994</v>
      </c>
      <c r="O167" s="4"/>
      <c r="P167" s="5"/>
    </row>
    <row r="168" spans="1:16" ht="15.75" hidden="1" customHeight="1">
      <c r="A168" s="4">
        <v>6</v>
      </c>
      <c r="B168" s="13" t="s">
        <v>139</v>
      </c>
      <c r="C168" s="5" t="s">
        <v>354</v>
      </c>
      <c r="D168" s="4" t="s">
        <v>293</v>
      </c>
      <c r="E168" s="4"/>
      <c r="F168" s="88" t="s">
        <v>91</v>
      </c>
      <c r="G168" s="49"/>
      <c r="H168" s="4">
        <v>3</v>
      </c>
      <c r="I168" s="4">
        <f t="shared" si="24"/>
        <v>16</v>
      </c>
      <c r="J168" s="4">
        <v>19</v>
      </c>
      <c r="K168" s="4">
        <v>11</v>
      </c>
      <c r="L168" s="71">
        <f t="shared" si="21"/>
        <v>0.27272727272727271</v>
      </c>
      <c r="M168" s="92">
        <f t="shared" si="27"/>
        <v>0.15789473684210525</v>
      </c>
      <c r="N168" s="32">
        <f t="shared" si="28"/>
        <v>0.19999999999999998</v>
      </c>
      <c r="O168" s="4"/>
      <c r="P168" s="5"/>
    </row>
    <row r="169" spans="1:16" ht="15.75" hidden="1" customHeight="1">
      <c r="A169" s="4">
        <v>6</v>
      </c>
      <c r="B169" s="13" t="s">
        <v>139</v>
      </c>
      <c r="C169" s="5" t="s">
        <v>354</v>
      </c>
      <c r="D169" s="4" t="s">
        <v>293</v>
      </c>
      <c r="E169" s="4"/>
      <c r="F169" s="4" t="s">
        <v>158</v>
      </c>
      <c r="G169" s="49"/>
      <c r="H169" s="4">
        <v>0</v>
      </c>
      <c r="I169" s="4">
        <f t="shared" si="24"/>
        <v>0</v>
      </c>
      <c r="J169" s="4">
        <v>0</v>
      </c>
      <c r="K169" s="4">
        <v>11</v>
      </c>
      <c r="L169" s="71">
        <f t="shared" si="21"/>
        <v>0</v>
      </c>
      <c r="M169" s="92"/>
      <c r="N169" s="32"/>
      <c r="O169" s="4"/>
      <c r="P169" s="5"/>
    </row>
    <row r="170" spans="1:16" ht="15.75" customHeight="1">
      <c r="A170" s="4">
        <v>6</v>
      </c>
      <c r="B170" s="13" t="s">
        <v>139</v>
      </c>
      <c r="C170" s="5" t="s">
        <v>354</v>
      </c>
      <c r="D170" s="4" t="s">
        <v>293</v>
      </c>
      <c r="E170" s="4"/>
      <c r="F170" s="86" t="s">
        <v>99</v>
      </c>
      <c r="G170" s="49"/>
      <c r="H170" s="4">
        <v>4</v>
      </c>
      <c r="I170" s="4">
        <f t="shared" si="24"/>
        <v>25</v>
      </c>
      <c r="J170" s="4">
        <v>29</v>
      </c>
      <c r="K170" s="4">
        <v>11</v>
      </c>
      <c r="L170" s="71">
        <f t="shared" si="21"/>
        <v>0.36363636363636365</v>
      </c>
      <c r="M170" s="92">
        <f t="shared" ref="M170:M178" si="29">H170/J170</f>
        <v>0.13793103448275862</v>
      </c>
      <c r="N170" s="32">
        <f t="shared" ref="N170:N179" si="30">2*M170*L170/(M170+L170)</f>
        <v>0.2</v>
      </c>
      <c r="O170" s="4"/>
      <c r="P170" s="5"/>
    </row>
    <row r="171" spans="1:16" ht="15.75" hidden="1" customHeight="1">
      <c r="A171" s="4">
        <v>6</v>
      </c>
      <c r="B171" s="13" t="s">
        <v>139</v>
      </c>
      <c r="C171" s="5" t="s">
        <v>354</v>
      </c>
      <c r="D171" s="4" t="s">
        <v>293</v>
      </c>
      <c r="E171" s="4"/>
      <c r="F171" s="3" t="s">
        <v>164</v>
      </c>
      <c r="G171" s="49"/>
      <c r="H171" s="4">
        <v>10</v>
      </c>
      <c r="I171" s="4">
        <f t="shared" si="24"/>
        <v>98</v>
      </c>
      <c r="J171" s="4">
        <v>108</v>
      </c>
      <c r="K171" s="4">
        <v>11</v>
      </c>
      <c r="L171" s="32">
        <f t="shared" si="21"/>
        <v>0.90909090909090906</v>
      </c>
      <c r="M171" s="92">
        <f t="shared" si="29"/>
        <v>9.2592592592592587E-2</v>
      </c>
      <c r="N171" s="32">
        <f t="shared" si="30"/>
        <v>0.16806722689075629</v>
      </c>
      <c r="O171" s="4"/>
      <c r="P171" s="5"/>
    </row>
    <row r="172" spans="1:16" ht="15.75" hidden="1" customHeight="1">
      <c r="A172" s="4">
        <v>6</v>
      </c>
      <c r="B172" s="13" t="s">
        <v>139</v>
      </c>
      <c r="C172" s="5" t="s">
        <v>354</v>
      </c>
      <c r="D172" s="4" t="s">
        <v>293</v>
      </c>
      <c r="E172" s="4"/>
      <c r="F172" s="85" t="s">
        <v>92</v>
      </c>
      <c r="G172" s="49"/>
      <c r="H172" s="4">
        <v>2</v>
      </c>
      <c r="I172" s="4">
        <f t="shared" si="24"/>
        <v>2</v>
      </c>
      <c r="J172" s="4">
        <v>4</v>
      </c>
      <c r="K172" s="4">
        <v>11</v>
      </c>
      <c r="L172" s="71">
        <f t="shared" si="21"/>
        <v>0.18181818181818182</v>
      </c>
      <c r="M172" s="92">
        <f t="shared" si="29"/>
        <v>0.5</v>
      </c>
      <c r="N172" s="32">
        <f t="shared" si="30"/>
        <v>0.26666666666666666</v>
      </c>
      <c r="O172" s="4"/>
      <c r="P172" s="5"/>
    </row>
    <row r="173" spans="1:16" ht="15.75" hidden="1" customHeight="1">
      <c r="A173" s="4">
        <v>6</v>
      </c>
      <c r="B173" s="13" t="s">
        <v>139</v>
      </c>
      <c r="C173" s="5" t="s">
        <v>355</v>
      </c>
      <c r="D173" s="4" t="s">
        <v>293</v>
      </c>
      <c r="E173" s="234" t="s">
        <v>356</v>
      </c>
      <c r="F173" s="91" t="s">
        <v>150</v>
      </c>
      <c r="G173" s="49"/>
      <c r="H173" s="4">
        <v>29</v>
      </c>
      <c r="I173" s="4">
        <f t="shared" si="24"/>
        <v>159</v>
      </c>
      <c r="J173" s="4">
        <v>188</v>
      </c>
      <c r="K173" s="4">
        <v>31</v>
      </c>
      <c r="L173" s="71">
        <f t="shared" si="21"/>
        <v>0.93548387096774188</v>
      </c>
      <c r="M173" s="92">
        <f t="shared" si="29"/>
        <v>0.15425531914893617</v>
      </c>
      <c r="N173" s="32">
        <f t="shared" si="30"/>
        <v>0.26484018264840187</v>
      </c>
      <c r="O173" s="4"/>
      <c r="P173" s="5"/>
    </row>
    <row r="174" spans="1:16" ht="15.75" hidden="1" customHeight="1">
      <c r="A174" s="4">
        <v>6</v>
      </c>
      <c r="B174" s="13" t="s">
        <v>139</v>
      </c>
      <c r="C174" s="5" t="s">
        <v>355</v>
      </c>
      <c r="D174" s="4" t="s">
        <v>293</v>
      </c>
      <c r="E174" s="229"/>
      <c r="F174" s="88" t="s">
        <v>91</v>
      </c>
      <c r="G174" s="49"/>
      <c r="H174" s="4">
        <v>29</v>
      </c>
      <c r="I174" s="4">
        <f t="shared" si="24"/>
        <v>162</v>
      </c>
      <c r="J174" s="4">
        <v>191</v>
      </c>
      <c r="K174" s="4">
        <v>31</v>
      </c>
      <c r="L174" s="71">
        <f t="shared" si="21"/>
        <v>0.93548387096774188</v>
      </c>
      <c r="M174" s="92">
        <f t="shared" si="29"/>
        <v>0.15183246073298429</v>
      </c>
      <c r="N174" s="32">
        <f t="shared" si="30"/>
        <v>0.26126126126126126</v>
      </c>
      <c r="O174" s="4"/>
      <c r="P174" s="5"/>
    </row>
    <row r="175" spans="1:16" ht="15.75" hidden="1" customHeight="1">
      <c r="A175" s="4">
        <v>6</v>
      </c>
      <c r="B175" s="13" t="s">
        <v>139</v>
      </c>
      <c r="C175" s="5" t="s">
        <v>355</v>
      </c>
      <c r="D175" s="4" t="s">
        <v>293</v>
      </c>
      <c r="E175" s="229"/>
      <c r="F175" s="4" t="s">
        <v>158</v>
      </c>
      <c r="G175" s="49"/>
      <c r="H175" s="4">
        <v>20</v>
      </c>
      <c r="I175" s="4">
        <f t="shared" si="24"/>
        <v>189</v>
      </c>
      <c r="J175" s="4">
        <v>209</v>
      </c>
      <c r="K175" s="4">
        <v>31</v>
      </c>
      <c r="L175" s="32">
        <f t="shared" si="21"/>
        <v>0.64516129032258063</v>
      </c>
      <c r="M175" s="92">
        <f t="shared" si="29"/>
        <v>9.569377990430622E-2</v>
      </c>
      <c r="N175" s="32">
        <f t="shared" si="30"/>
        <v>0.16666666666666669</v>
      </c>
      <c r="O175" s="4"/>
      <c r="P175" s="5"/>
    </row>
    <row r="176" spans="1:16" ht="15.75" customHeight="1">
      <c r="A176" s="4">
        <v>6</v>
      </c>
      <c r="B176" s="13" t="s">
        <v>139</v>
      </c>
      <c r="C176" s="5" t="s">
        <v>355</v>
      </c>
      <c r="D176" s="4" t="s">
        <v>293</v>
      </c>
      <c r="E176" s="229"/>
      <c r="F176" s="86" t="s">
        <v>99</v>
      </c>
      <c r="G176" s="49"/>
      <c r="H176" s="4">
        <v>29</v>
      </c>
      <c r="I176" s="4">
        <f t="shared" si="24"/>
        <v>279</v>
      </c>
      <c r="J176" s="4">
        <v>308</v>
      </c>
      <c r="K176" s="4">
        <v>31</v>
      </c>
      <c r="L176" s="71">
        <f t="shared" si="21"/>
        <v>0.93548387096774188</v>
      </c>
      <c r="M176" s="92">
        <f t="shared" si="29"/>
        <v>9.4155844155844159E-2</v>
      </c>
      <c r="N176" s="32">
        <f t="shared" si="30"/>
        <v>0.17109144542772861</v>
      </c>
      <c r="O176" s="4"/>
      <c r="P176" s="5"/>
    </row>
    <row r="177" spans="1:16" ht="15.75" hidden="1" customHeight="1">
      <c r="A177" s="4">
        <v>6</v>
      </c>
      <c r="B177" s="13" t="s">
        <v>139</v>
      </c>
      <c r="C177" s="5" t="s">
        <v>355</v>
      </c>
      <c r="D177" s="4" t="s">
        <v>293</v>
      </c>
      <c r="E177" s="229"/>
      <c r="F177" s="3" t="s">
        <v>164</v>
      </c>
      <c r="G177" s="49"/>
      <c r="H177" s="4">
        <v>22</v>
      </c>
      <c r="I177" s="4">
        <f t="shared" si="24"/>
        <v>277</v>
      </c>
      <c r="J177" s="4">
        <v>299</v>
      </c>
      <c r="K177" s="4">
        <v>31</v>
      </c>
      <c r="L177" s="71">
        <f t="shared" si="21"/>
        <v>0.70967741935483875</v>
      </c>
      <c r="M177" s="92">
        <f t="shared" si="29"/>
        <v>7.3578595317725759E-2</v>
      </c>
      <c r="N177" s="32">
        <f t="shared" si="30"/>
        <v>0.13333333333333336</v>
      </c>
      <c r="O177" s="4"/>
      <c r="P177" s="5"/>
    </row>
    <row r="178" spans="1:16" ht="15.75" hidden="1" customHeight="1">
      <c r="A178" s="4">
        <v>6</v>
      </c>
      <c r="B178" s="13" t="s">
        <v>139</v>
      </c>
      <c r="C178" s="5" t="s">
        <v>355</v>
      </c>
      <c r="D178" s="4" t="s">
        <v>293</v>
      </c>
      <c r="E178" s="230"/>
      <c r="F178" s="85" t="s">
        <v>92</v>
      </c>
      <c r="G178" s="49"/>
      <c r="H178" s="4">
        <v>30</v>
      </c>
      <c r="I178" s="4">
        <f t="shared" si="24"/>
        <v>874</v>
      </c>
      <c r="J178" s="4">
        <v>904</v>
      </c>
      <c r="K178" s="4">
        <v>31</v>
      </c>
      <c r="L178" s="71">
        <f t="shared" si="21"/>
        <v>0.967741935483871</v>
      </c>
      <c r="M178" s="92">
        <f t="shared" si="29"/>
        <v>3.3185840707964605E-2</v>
      </c>
      <c r="N178" s="32">
        <f t="shared" si="30"/>
        <v>6.4171122994652413E-2</v>
      </c>
      <c r="O178" s="4"/>
      <c r="P178" s="5"/>
    </row>
    <row r="179" spans="1:16" ht="15.75" hidden="1" customHeight="1">
      <c r="A179" s="4">
        <v>7</v>
      </c>
      <c r="B179" s="68" t="s">
        <v>175</v>
      </c>
      <c r="C179" s="5" t="s">
        <v>357</v>
      </c>
      <c r="D179" s="4" t="s">
        <v>279</v>
      </c>
      <c r="E179" s="4"/>
      <c r="F179" s="69" t="s">
        <v>14</v>
      </c>
      <c r="G179" s="49"/>
      <c r="H179" s="87">
        <f>L179*K179</f>
        <v>67.039999999999992</v>
      </c>
      <c r="I179" s="87">
        <f t="shared" si="24"/>
        <v>39.372698412698412</v>
      </c>
      <c r="J179" s="87">
        <f>H179/M179</f>
        <v>106.4126984126984</v>
      </c>
      <c r="K179" s="4">
        <v>80</v>
      </c>
      <c r="L179" s="71">
        <v>0.83799999999999997</v>
      </c>
      <c r="M179" s="4">
        <v>0.63</v>
      </c>
      <c r="N179" s="32">
        <f t="shared" si="30"/>
        <v>0.71926430517711171</v>
      </c>
      <c r="O179" s="4"/>
      <c r="P179" s="5"/>
    </row>
    <row r="180" spans="1:16" ht="15.75" hidden="1" customHeight="1">
      <c r="A180" s="4">
        <v>7</v>
      </c>
      <c r="B180" s="68" t="s">
        <v>175</v>
      </c>
      <c r="C180" s="5" t="s">
        <v>357</v>
      </c>
      <c r="D180" s="4" t="s">
        <v>279</v>
      </c>
      <c r="E180" s="4"/>
      <c r="F180" s="91" t="s">
        <v>150</v>
      </c>
      <c r="G180" s="49"/>
      <c r="H180" s="87"/>
      <c r="I180" s="87"/>
      <c r="J180" s="87"/>
      <c r="K180" s="4">
        <v>80</v>
      </c>
      <c r="L180" s="71"/>
      <c r="M180" s="4"/>
      <c r="N180" s="32"/>
      <c r="O180" s="4"/>
      <c r="P180" s="5"/>
    </row>
    <row r="181" spans="1:16" ht="15.75" hidden="1" customHeight="1">
      <c r="A181" s="4">
        <v>7</v>
      </c>
      <c r="B181" s="13" t="s">
        <v>175</v>
      </c>
      <c r="C181" s="5" t="s">
        <v>357</v>
      </c>
      <c r="D181" s="4" t="s">
        <v>279</v>
      </c>
      <c r="E181" s="4"/>
      <c r="F181" s="74" t="s">
        <v>193</v>
      </c>
      <c r="G181" s="49"/>
      <c r="H181" s="87">
        <f t="shared" ref="H181:H290" si="31">L181*K181</f>
        <v>55.279999999999994</v>
      </c>
      <c r="I181" s="87">
        <f t="shared" ref="I181:I290" si="32">J181-H181</f>
        <v>6.1422222222222231</v>
      </c>
      <c r="J181" s="87">
        <f t="shared" ref="J181:J244" si="33">H181/M181</f>
        <v>61.422222222222217</v>
      </c>
      <c r="K181" s="4">
        <v>80</v>
      </c>
      <c r="L181" s="71">
        <v>0.69099999999999995</v>
      </c>
      <c r="M181" s="4">
        <v>0.9</v>
      </c>
      <c r="N181" s="32">
        <f t="shared" ref="N181:N244" si="34">2*M181*L181/(M181+L181)</f>
        <v>0.78177247014456319</v>
      </c>
      <c r="O181" s="4"/>
      <c r="P181" s="5"/>
    </row>
    <row r="182" spans="1:16" ht="15.75" hidden="1" customHeight="1">
      <c r="A182" s="4">
        <v>7</v>
      </c>
      <c r="B182" s="13" t="s">
        <v>175</v>
      </c>
      <c r="C182" s="5" t="s">
        <v>357</v>
      </c>
      <c r="D182" s="4" t="s">
        <v>279</v>
      </c>
      <c r="E182" s="4"/>
      <c r="F182" s="95" t="s">
        <v>197</v>
      </c>
      <c r="G182" s="49"/>
      <c r="H182" s="87">
        <f t="shared" si="31"/>
        <v>43.52</v>
      </c>
      <c r="I182" s="87">
        <f t="shared" si="32"/>
        <v>5.9345454545454572</v>
      </c>
      <c r="J182" s="87">
        <f t="shared" si="33"/>
        <v>49.45454545454546</v>
      </c>
      <c r="K182" s="4">
        <v>80</v>
      </c>
      <c r="L182" s="71">
        <v>0.54400000000000004</v>
      </c>
      <c r="M182" s="4">
        <v>0.88</v>
      </c>
      <c r="N182" s="32">
        <f t="shared" si="34"/>
        <v>0.67235955056179786</v>
      </c>
      <c r="O182" s="4"/>
      <c r="P182" s="5"/>
    </row>
    <row r="183" spans="1:16" ht="15.75" hidden="1" customHeight="1">
      <c r="A183" s="4">
        <v>7</v>
      </c>
      <c r="B183" s="13" t="s">
        <v>175</v>
      </c>
      <c r="C183" s="5" t="s">
        <v>357</v>
      </c>
      <c r="D183" s="4" t="s">
        <v>279</v>
      </c>
      <c r="E183" s="4"/>
      <c r="F183" s="44" t="s">
        <v>10</v>
      </c>
      <c r="G183" s="49"/>
      <c r="H183" s="87">
        <f t="shared" si="31"/>
        <v>63.52</v>
      </c>
      <c r="I183" s="87">
        <f t="shared" si="32"/>
        <v>10.34046511627907</v>
      </c>
      <c r="J183" s="87">
        <f t="shared" si="33"/>
        <v>73.860465116279073</v>
      </c>
      <c r="K183" s="4">
        <v>80</v>
      </c>
      <c r="L183" s="71">
        <v>0.79400000000000004</v>
      </c>
      <c r="M183" s="4">
        <v>0.86</v>
      </c>
      <c r="N183" s="32">
        <f t="shared" si="34"/>
        <v>0.82568319226118503</v>
      </c>
      <c r="O183" s="4"/>
      <c r="P183" s="5"/>
    </row>
    <row r="184" spans="1:16" ht="15.75" hidden="1" customHeight="1">
      <c r="A184" s="4">
        <v>7</v>
      </c>
      <c r="B184" s="13" t="s">
        <v>175</v>
      </c>
      <c r="C184" s="5" t="s">
        <v>357</v>
      </c>
      <c r="D184" s="4" t="s">
        <v>279</v>
      </c>
      <c r="E184" s="4"/>
      <c r="F184" s="76" t="s">
        <v>30</v>
      </c>
      <c r="G184" s="49"/>
      <c r="H184" s="87">
        <f t="shared" si="31"/>
        <v>21.200000000000003</v>
      </c>
      <c r="I184" s="87">
        <f t="shared" si="32"/>
        <v>60.338461538461544</v>
      </c>
      <c r="J184" s="87">
        <f t="shared" si="33"/>
        <v>81.538461538461547</v>
      </c>
      <c r="K184" s="4">
        <v>80</v>
      </c>
      <c r="L184" s="71">
        <v>0.26500000000000001</v>
      </c>
      <c r="M184" s="4">
        <v>0.26</v>
      </c>
      <c r="N184" s="32">
        <f t="shared" si="34"/>
        <v>0.26247619047619047</v>
      </c>
      <c r="O184" s="4"/>
      <c r="P184" s="5"/>
    </row>
    <row r="185" spans="1:16" ht="15.75" hidden="1" customHeight="1">
      <c r="A185" s="4">
        <v>7</v>
      </c>
      <c r="B185" s="13" t="s">
        <v>175</v>
      </c>
      <c r="C185" s="5" t="s">
        <v>357</v>
      </c>
      <c r="D185" s="4" t="s">
        <v>279</v>
      </c>
      <c r="E185" s="4"/>
      <c r="F185" s="96" t="s">
        <v>16</v>
      </c>
      <c r="G185" s="49"/>
      <c r="H185" s="87">
        <f t="shared" si="31"/>
        <v>49.44</v>
      </c>
      <c r="I185" s="87">
        <f t="shared" si="32"/>
        <v>8.0483720930232536</v>
      </c>
      <c r="J185" s="87">
        <f t="shared" si="33"/>
        <v>57.488372093023251</v>
      </c>
      <c r="K185" s="4">
        <v>80</v>
      </c>
      <c r="L185" s="71">
        <v>0.61799999999999999</v>
      </c>
      <c r="M185" s="4">
        <v>0.86</v>
      </c>
      <c r="N185" s="32">
        <f t="shared" si="34"/>
        <v>0.71918809201623812</v>
      </c>
      <c r="O185" s="49"/>
      <c r="P185" s="5"/>
    </row>
    <row r="186" spans="1:16" ht="15.75" hidden="1" customHeight="1">
      <c r="A186" s="4">
        <v>7</v>
      </c>
      <c r="B186" s="13" t="s">
        <v>175</v>
      </c>
      <c r="C186" s="5" t="s">
        <v>357</v>
      </c>
      <c r="D186" s="4" t="s">
        <v>279</v>
      </c>
      <c r="E186" s="4"/>
      <c r="F186" s="54" t="s">
        <v>13</v>
      </c>
      <c r="G186" s="49"/>
      <c r="H186" s="87">
        <f t="shared" si="31"/>
        <v>51.760000000000005</v>
      </c>
      <c r="I186" s="87">
        <f t="shared" si="32"/>
        <v>16.345263157894735</v>
      </c>
      <c r="J186" s="87">
        <f t="shared" si="33"/>
        <v>68.10526315789474</v>
      </c>
      <c r="K186" s="4">
        <v>80</v>
      </c>
      <c r="L186" s="71">
        <v>0.64700000000000002</v>
      </c>
      <c r="M186" s="4">
        <v>0.76</v>
      </c>
      <c r="N186" s="32">
        <f t="shared" si="34"/>
        <v>0.69896233120113727</v>
      </c>
      <c r="O186" s="4"/>
      <c r="P186" s="5"/>
    </row>
    <row r="187" spans="1:16" ht="15.75" hidden="1" customHeight="1">
      <c r="A187" s="4">
        <v>7</v>
      </c>
      <c r="B187" s="13" t="s">
        <v>175</v>
      </c>
      <c r="C187" s="5" t="s">
        <v>357</v>
      </c>
      <c r="D187" s="4" t="s">
        <v>279</v>
      </c>
      <c r="E187" s="4"/>
      <c r="F187" s="65" t="s">
        <v>25</v>
      </c>
      <c r="G187" s="49"/>
      <c r="H187" s="87">
        <f t="shared" si="31"/>
        <v>30.560000000000006</v>
      </c>
      <c r="I187" s="87">
        <f t="shared" si="32"/>
        <v>3.395555555555557</v>
      </c>
      <c r="J187" s="87">
        <f t="shared" si="33"/>
        <v>33.955555555555563</v>
      </c>
      <c r="K187" s="4">
        <v>80</v>
      </c>
      <c r="L187" s="71">
        <v>0.38200000000000006</v>
      </c>
      <c r="M187" s="4">
        <v>0.9</v>
      </c>
      <c r="N187" s="32">
        <f t="shared" si="34"/>
        <v>0.53634945397815914</v>
      </c>
      <c r="O187" s="4"/>
      <c r="P187" s="5"/>
    </row>
    <row r="188" spans="1:16" ht="15.75" hidden="1" customHeight="1">
      <c r="A188" s="4">
        <v>7</v>
      </c>
      <c r="B188" s="13" t="s">
        <v>175</v>
      </c>
      <c r="C188" s="5" t="s">
        <v>357</v>
      </c>
      <c r="D188" s="4" t="s">
        <v>279</v>
      </c>
      <c r="E188" s="4"/>
      <c r="F188" s="81" t="s">
        <v>21</v>
      </c>
      <c r="G188" s="49"/>
      <c r="H188" s="87">
        <f t="shared" si="31"/>
        <v>70.56</v>
      </c>
      <c r="I188" s="87">
        <f t="shared" si="32"/>
        <v>11.486511627906978</v>
      </c>
      <c r="J188" s="87">
        <f t="shared" si="33"/>
        <v>82.04651162790698</v>
      </c>
      <c r="K188" s="4">
        <v>80</v>
      </c>
      <c r="L188" s="71">
        <v>0.88200000000000001</v>
      </c>
      <c r="M188" s="4">
        <v>0.86</v>
      </c>
      <c r="N188" s="32">
        <f t="shared" si="34"/>
        <v>0.87086107921928813</v>
      </c>
      <c r="O188" s="4"/>
      <c r="P188" s="5"/>
    </row>
    <row r="189" spans="1:16" ht="15.75" hidden="1" customHeight="1">
      <c r="A189" s="4">
        <v>7</v>
      </c>
      <c r="B189" s="13" t="s">
        <v>175</v>
      </c>
      <c r="C189" s="5" t="s">
        <v>357</v>
      </c>
      <c r="D189" s="4" t="s">
        <v>279</v>
      </c>
      <c r="E189" s="4"/>
      <c r="F189" s="85" t="s">
        <v>92</v>
      </c>
      <c r="G189" s="49"/>
      <c r="H189" s="87">
        <f t="shared" si="31"/>
        <v>44.720000000000006</v>
      </c>
      <c r="I189" s="87">
        <f t="shared" si="32"/>
        <v>8.5180952380952419</v>
      </c>
      <c r="J189" s="87">
        <f t="shared" si="33"/>
        <v>53.238095238095248</v>
      </c>
      <c r="K189" s="4">
        <v>80</v>
      </c>
      <c r="L189" s="71">
        <v>0.55900000000000005</v>
      </c>
      <c r="M189" s="4">
        <v>0.84</v>
      </c>
      <c r="N189" s="32">
        <f t="shared" si="34"/>
        <v>0.67127948534667625</v>
      </c>
      <c r="O189" s="4"/>
      <c r="P189" s="5"/>
    </row>
    <row r="190" spans="1:16" ht="15.75" hidden="1" customHeight="1">
      <c r="A190" s="4">
        <v>7</v>
      </c>
      <c r="B190" s="13" t="s">
        <v>175</v>
      </c>
      <c r="C190" s="5" t="s">
        <v>357</v>
      </c>
      <c r="D190" s="4" t="s">
        <v>279</v>
      </c>
      <c r="E190" s="4"/>
      <c r="F190" s="89" t="s">
        <v>23</v>
      </c>
      <c r="G190" s="49"/>
      <c r="H190" s="87">
        <f t="shared" si="31"/>
        <v>28.24</v>
      </c>
      <c r="I190" s="87">
        <f t="shared" si="32"/>
        <v>4.5972093023255844</v>
      </c>
      <c r="J190" s="87">
        <f t="shared" si="33"/>
        <v>32.837209302325583</v>
      </c>
      <c r="K190" s="4">
        <v>80</v>
      </c>
      <c r="L190" s="71">
        <v>0.35299999999999998</v>
      </c>
      <c r="M190" s="4">
        <v>0.86</v>
      </c>
      <c r="N190" s="32">
        <f t="shared" si="34"/>
        <v>0.50054410552349538</v>
      </c>
      <c r="O190" s="4"/>
      <c r="P190" s="5"/>
    </row>
    <row r="191" spans="1:16" ht="15.75" hidden="1" customHeight="1">
      <c r="A191" s="4">
        <v>7</v>
      </c>
      <c r="B191" s="13" t="s">
        <v>175</v>
      </c>
      <c r="C191" s="5" t="s">
        <v>357</v>
      </c>
      <c r="D191" s="4" t="s">
        <v>279</v>
      </c>
      <c r="E191" s="4"/>
      <c r="F191" s="3" t="s">
        <v>164</v>
      </c>
      <c r="G191" s="49"/>
      <c r="H191" s="87">
        <f t="shared" si="31"/>
        <v>58.8</v>
      </c>
      <c r="I191" s="87">
        <f t="shared" si="32"/>
        <v>10.376470588235293</v>
      </c>
      <c r="J191" s="87">
        <f t="shared" si="33"/>
        <v>69.17647058823529</v>
      </c>
      <c r="K191" s="4">
        <v>80</v>
      </c>
      <c r="L191" s="71">
        <v>0.73499999999999999</v>
      </c>
      <c r="M191" s="4">
        <v>0.85</v>
      </c>
      <c r="N191" s="32">
        <f t="shared" si="34"/>
        <v>0.78832807570977925</v>
      </c>
      <c r="O191" s="4"/>
      <c r="P191" s="5"/>
    </row>
    <row r="192" spans="1:16" ht="15.75" customHeight="1">
      <c r="A192" s="4">
        <v>7</v>
      </c>
      <c r="B192" s="13" t="s">
        <v>175</v>
      </c>
      <c r="C192" s="5" t="s">
        <v>357</v>
      </c>
      <c r="D192" s="4" t="s">
        <v>279</v>
      </c>
      <c r="E192" s="4"/>
      <c r="F192" s="86" t="s">
        <v>99</v>
      </c>
      <c r="G192" s="49"/>
      <c r="H192" s="87">
        <f t="shared" si="31"/>
        <v>31.76</v>
      </c>
      <c r="I192" s="87">
        <f t="shared" si="32"/>
        <v>18.652698412698417</v>
      </c>
      <c r="J192" s="87">
        <f t="shared" si="33"/>
        <v>50.412698412698418</v>
      </c>
      <c r="K192" s="4">
        <v>80</v>
      </c>
      <c r="L192" s="71">
        <v>0.39700000000000002</v>
      </c>
      <c r="M192" s="4">
        <v>0.63</v>
      </c>
      <c r="N192" s="32">
        <f t="shared" si="34"/>
        <v>0.48706913339824726</v>
      </c>
      <c r="O192" s="4"/>
      <c r="P192" s="5"/>
    </row>
    <row r="193" spans="1:17" ht="15.75" hidden="1" customHeight="1">
      <c r="A193" s="4">
        <v>7</v>
      </c>
      <c r="B193" s="13" t="s">
        <v>175</v>
      </c>
      <c r="C193" s="5" t="s">
        <v>357</v>
      </c>
      <c r="D193" s="4" t="s">
        <v>279</v>
      </c>
      <c r="E193" s="4"/>
      <c r="F193" s="4" t="s">
        <v>224</v>
      </c>
      <c r="G193" s="49"/>
      <c r="H193" s="87">
        <f t="shared" si="31"/>
        <v>61.2</v>
      </c>
      <c r="I193" s="87">
        <f t="shared" si="32"/>
        <v>10.799999999999997</v>
      </c>
      <c r="J193" s="87">
        <f t="shared" si="33"/>
        <v>72</v>
      </c>
      <c r="K193" s="4">
        <v>80</v>
      </c>
      <c r="L193" s="71">
        <v>0.76500000000000001</v>
      </c>
      <c r="M193" s="4">
        <v>0.85</v>
      </c>
      <c r="N193" s="32">
        <f t="shared" si="34"/>
        <v>0.80526315789473679</v>
      </c>
      <c r="O193" s="4"/>
      <c r="P193" s="5"/>
    </row>
    <row r="194" spans="1:17" ht="15.75" hidden="1" customHeight="1">
      <c r="A194" s="4">
        <v>7</v>
      </c>
      <c r="B194" s="13" t="s">
        <v>175</v>
      </c>
      <c r="C194" s="5" t="s">
        <v>357</v>
      </c>
      <c r="D194" s="4" t="s">
        <v>279</v>
      </c>
      <c r="E194" s="4"/>
      <c r="F194" s="4" t="s">
        <v>226</v>
      </c>
      <c r="G194" s="49"/>
      <c r="H194" s="87">
        <f t="shared" si="31"/>
        <v>22.319999999999997</v>
      </c>
      <c r="I194" s="87">
        <f t="shared" si="32"/>
        <v>32.119024390243908</v>
      </c>
      <c r="J194" s="87">
        <f t="shared" si="33"/>
        <v>54.439024390243901</v>
      </c>
      <c r="K194" s="4">
        <v>80</v>
      </c>
      <c r="L194" s="71">
        <v>0.27899999999999997</v>
      </c>
      <c r="M194" s="4">
        <v>0.41</v>
      </c>
      <c r="N194" s="32">
        <f t="shared" si="34"/>
        <v>0.33204644412191581</v>
      </c>
      <c r="O194" s="4"/>
      <c r="P194" s="5"/>
    </row>
    <row r="195" spans="1:17" ht="15.75" hidden="1" customHeight="1">
      <c r="A195" s="4">
        <v>7</v>
      </c>
      <c r="B195" s="13" t="s">
        <v>175</v>
      </c>
      <c r="C195" s="5" t="s">
        <v>358</v>
      </c>
      <c r="D195" s="4" t="s">
        <v>279</v>
      </c>
      <c r="E195" s="4"/>
      <c r="F195" s="95" t="s">
        <v>197</v>
      </c>
      <c r="G195" s="49"/>
      <c r="H195" s="87">
        <f t="shared" si="31"/>
        <v>196</v>
      </c>
      <c r="I195" s="87">
        <f t="shared" si="32"/>
        <v>72.493150684931493</v>
      </c>
      <c r="J195" s="87">
        <f t="shared" si="33"/>
        <v>268.49315068493149</v>
      </c>
      <c r="K195" s="4">
        <v>250</v>
      </c>
      <c r="L195" s="71">
        <v>0.78400000000000003</v>
      </c>
      <c r="M195" s="4">
        <v>0.73</v>
      </c>
      <c r="N195" s="32">
        <f t="shared" si="34"/>
        <v>0.75603698811096443</v>
      </c>
      <c r="O195" s="80">
        <v>8.3333333333333329E-2</v>
      </c>
      <c r="P195" s="5">
        <v>5</v>
      </c>
      <c r="Q195" s="13">
        <v>1</v>
      </c>
    </row>
    <row r="196" spans="1:17" ht="15.75" hidden="1" customHeight="1">
      <c r="A196" s="4">
        <v>7</v>
      </c>
      <c r="B196" s="13" t="s">
        <v>175</v>
      </c>
      <c r="C196" s="5" t="s">
        <v>358</v>
      </c>
      <c r="D196" s="4" t="s">
        <v>279</v>
      </c>
      <c r="E196" s="4"/>
      <c r="F196" s="91" t="s">
        <v>150</v>
      </c>
      <c r="G196" s="97"/>
      <c r="H196" s="87">
        <f t="shared" si="31"/>
        <v>211.00000000000003</v>
      </c>
      <c r="I196" s="87">
        <f t="shared" si="32"/>
        <v>123.92063492063491</v>
      </c>
      <c r="J196" s="87">
        <f t="shared" si="33"/>
        <v>334.92063492063494</v>
      </c>
      <c r="K196" s="4">
        <v>250</v>
      </c>
      <c r="L196" s="71">
        <v>0.84400000000000008</v>
      </c>
      <c r="M196" s="4">
        <v>0.63</v>
      </c>
      <c r="N196" s="32">
        <f t="shared" si="34"/>
        <v>0.72146540027137041</v>
      </c>
      <c r="O196" s="80">
        <v>0.5</v>
      </c>
      <c r="P196" s="5">
        <v>8</v>
      </c>
      <c r="Q196" s="13">
        <v>2</v>
      </c>
    </row>
    <row r="197" spans="1:17" ht="15.75" hidden="1" customHeight="1">
      <c r="A197" s="4">
        <v>7</v>
      </c>
      <c r="B197" s="13" t="s">
        <v>175</v>
      </c>
      <c r="C197" s="5" t="s">
        <v>358</v>
      </c>
      <c r="D197" s="4" t="s">
        <v>279</v>
      </c>
      <c r="E197" s="4"/>
      <c r="F197" s="76" t="s">
        <v>30</v>
      </c>
      <c r="G197" s="49"/>
      <c r="H197" s="87">
        <f t="shared" si="31"/>
        <v>1</v>
      </c>
      <c r="I197" s="87">
        <f t="shared" si="32"/>
        <v>2.0303030303030303</v>
      </c>
      <c r="J197" s="87">
        <f t="shared" si="33"/>
        <v>3.0303030303030303</v>
      </c>
      <c r="K197" s="4">
        <v>250</v>
      </c>
      <c r="L197" s="71">
        <v>4.0000000000000001E-3</v>
      </c>
      <c r="M197" s="4">
        <v>0.33</v>
      </c>
      <c r="N197" s="32">
        <f t="shared" si="34"/>
        <v>7.9041916167664674E-3</v>
      </c>
      <c r="O197" s="80">
        <v>0.58333333333333337</v>
      </c>
      <c r="P197" s="5">
        <v>28</v>
      </c>
      <c r="Q197" s="13">
        <v>3</v>
      </c>
    </row>
    <row r="198" spans="1:17" ht="15.75" hidden="1" customHeight="1">
      <c r="A198" s="4">
        <v>7</v>
      </c>
      <c r="B198" s="13" t="s">
        <v>175</v>
      </c>
      <c r="C198" s="5" t="s">
        <v>358</v>
      </c>
      <c r="D198" s="4" t="s">
        <v>279</v>
      </c>
      <c r="E198" s="4"/>
      <c r="F198" s="69" t="s">
        <v>14</v>
      </c>
      <c r="G198" s="97"/>
      <c r="H198" s="87">
        <f t="shared" si="31"/>
        <v>233</v>
      </c>
      <c r="I198" s="87">
        <f t="shared" si="32"/>
        <v>65.71794871794873</v>
      </c>
      <c r="J198" s="87">
        <f t="shared" si="33"/>
        <v>298.71794871794873</v>
      </c>
      <c r="K198" s="4">
        <v>250</v>
      </c>
      <c r="L198" s="71">
        <v>0.93200000000000005</v>
      </c>
      <c r="M198" s="4">
        <v>0.78</v>
      </c>
      <c r="N198" s="32">
        <f t="shared" si="34"/>
        <v>0.8492523364485981</v>
      </c>
      <c r="O198" s="80">
        <v>1</v>
      </c>
      <c r="P198" s="5">
        <v>30</v>
      </c>
      <c r="Q198" s="13">
        <v>4</v>
      </c>
    </row>
    <row r="199" spans="1:17" ht="15.75" hidden="1" customHeight="1">
      <c r="A199" s="4">
        <v>7</v>
      </c>
      <c r="B199" s="13" t="s">
        <v>175</v>
      </c>
      <c r="C199" s="5" t="s">
        <v>358</v>
      </c>
      <c r="D199" s="4" t="s">
        <v>279</v>
      </c>
      <c r="E199" s="4"/>
      <c r="F199" s="44" t="s">
        <v>10</v>
      </c>
      <c r="G199" s="49"/>
      <c r="H199" s="87">
        <f t="shared" si="31"/>
        <v>172</v>
      </c>
      <c r="I199" s="87">
        <f t="shared" si="32"/>
        <v>66.888888888888886</v>
      </c>
      <c r="J199" s="87">
        <f t="shared" si="33"/>
        <v>238.88888888888889</v>
      </c>
      <c r="K199" s="4">
        <v>250</v>
      </c>
      <c r="L199" s="71">
        <v>0.68799999999999994</v>
      </c>
      <c r="M199" s="4">
        <v>0.72</v>
      </c>
      <c r="N199" s="32">
        <f t="shared" si="34"/>
        <v>0.70363636363636362</v>
      </c>
      <c r="O199" s="80">
        <v>1.3333333333333333</v>
      </c>
      <c r="P199" s="5">
        <v>36</v>
      </c>
      <c r="Q199" s="13">
        <v>5</v>
      </c>
    </row>
    <row r="200" spans="1:17" ht="15.75" hidden="1" customHeight="1">
      <c r="A200" s="4">
        <v>7</v>
      </c>
      <c r="B200" s="13" t="s">
        <v>175</v>
      </c>
      <c r="C200" s="5" t="s">
        <v>358</v>
      </c>
      <c r="D200" s="4" t="s">
        <v>279</v>
      </c>
      <c r="E200" s="4"/>
      <c r="F200" s="96" t="s">
        <v>16</v>
      </c>
      <c r="G200" s="49"/>
      <c r="H200" s="87">
        <f t="shared" si="31"/>
        <v>158</v>
      </c>
      <c r="I200" s="87">
        <f t="shared" si="32"/>
        <v>257.78947368421052</v>
      </c>
      <c r="J200" s="87">
        <f t="shared" si="33"/>
        <v>415.78947368421052</v>
      </c>
      <c r="K200" s="4">
        <v>250</v>
      </c>
      <c r="L200" s="71">
        <v>0.63200000000000001</v>
      </c>
      <c r="M200" s="4">
        <v>0.38</v>
      </c>
      <c r="N200" s="32">
        <f t="shared" si="34"/>
        <v>0.4746245059288538</v>
      </c>
      <c r="O200" s="80">
        <v>4.666666666666667</v>
      </c>
      <c r="P200" s="5">
        <v>5</v>
      </c>
      <c r="Q200" s="13">
        <v>6</v>
      </c>
    </row>
    <row r="201" spans="1:17" ht="15.75" hidden="1" customHeight="1">
      <c r="A201" s="4">
        <v>7</v>
      </c>
      <c r="B201" s="13" t="s">
        <v>175</v>
      </c>
      <c r="C201" s="5" t="s">
        <v>358</v>
      </c>
      <c r="D201" s="4" t="s">
        <v>279</v>
      </c>
      <c r="E201" s="4"/>
      <c r="F201" s="3" t="s">
        <v>164</v>
      </c>
      <c r="G201" s="49"/>
      <c r="H201" s="87">
        <f t="shared" si="31"/>
        <v>204</v>
      </c>
      <c r="I201" s="87">
        <f t="shared" si="32"/>
        <v>47.851851851851848</v>
      </c>
      <c r="J201" s="87">
        <f t="shared" si="33"/>
        <v>251.85185185185185</v>
      </c>
      <c r="K201" s="4">
        <v>250</v>
      </c>
      <c r="L201" s="71">
        <v>0.81599999999999995</v>
      </c>
      <c r="M201" s="4">
        <v>0.81</v>
      </c>
      <c r="N201" s="32">
        <f t="shared" si="34"/>
        <v>0.81298892988929894</v>
      </c>
      <c r="O201" s="80">
        <v>5.333333333333333</v>
      </c>
      <c r="P201" s="5">
        <v>6</v>
      </c>
      <c r="Q201" s="13">
        <v>7</v>
      </c>
    </row>
    <row r="202" spans="1:17" ht="15.75" hidden="1" customHeight="1">
      <c r="A202" s="4">
        <v>7</v>
      </c>
      <c r="B202" s="13" t="s">
        <v>175</v>
      </c>
      <c r="C202" s="5" t="s">
        <v>358</v>
      </c>
      <c r="D202" s="4" t="s">
        <v>279</v>
      </c>
      <c r="E202" s="4"/>
      <c r="F202" s="4" t="s">
        <v>224</v>
      </c>
      <c r="G202" s="49"/>
      <c r="H202" s="87">
        <f t="shared" si="31"/>
        <v>143.00000000000003</v>
      </c>
      <c r="I202" s="87">
        <f t="shared" si="32"/>
        <v>33.543209876543216</v>
      </c>
      <c r="J202" s="87">
        <f t="shared" si="33"/>
        <v>176.54320987654324</v>
      </c>
      <c r="K202" s="4">
        <v>250</v>
      </c>
      <c r="L202" s="71">
        <v>0.57200000000000006</v>
      </c>
      <c r="M202" s="4">
        <v>0.81</v>
      </c>
      <c r="N202" s="32">
        <f t="shared" si="34"/>
        <v>0.6705065123010131</v>
      </c>
      <c r="O202" s="80">
        <v>5.5</v>
      </c>
      <c r="P202" s="5">
        <v>25</v>
      </c>
      <c r="Q202" s="13">
        <v>8</v>
      </c>
    </row>
    <row r="203" spans="1:17" ht="15.75" hidden="1" customHeight="1">
      <c r="A203" s="4">
        <v>7</v>
      </c>
      <c r="B203" s="13" t="s">
        <v>175</v>
      </c>
      <c r="C203" s="5" t="s">
        <v>358</v>
      </c>
      <c r="D203" s="4" t="s">
        <v>279</v>
      </c>
      <c r="E203" s="4"/>
      <c r="F203" s="74" t="s">
        <v>193</v>
      </c>
      <c r="G203" s="49"/>
      <c r="H203" s="87">
        <f t="shared" si="31"/>
        <v>166</v>
      </c>
      <c r="I203" s="87">
        <f t="shared" si="32"/>
        <v>41.5</v>
      </c>
      <c r="J203" s="87">
        <f t="shared" si="33"/>
        <v>207.5</v>
      </c>
      <c r="K203" s="4">
        <v>250</v>
      </c>
      <c r="L203" s="71">
        <v>0.66400000000000003</v>
      </c>
      <c r="M203" s="4">
        <v>0.8</v>
      </c>
      <c r="N203" s="32">
        <f t="shared" si="34"/>
        <v>0.72568306010928962</v>
      </c>
      <c r="O203" s="80">
        <v>7</v>
      </c>
      <c r="P203" s="5">
        <v>5</v>
      </c>
      <c r="Q203" s="13">
        <v>9</v>
      </c>
    </row>
    <row r="204" spans="1:17" ht="15.75" hidden="1" customHeight="1">
      <c r="A204" s="4">
        <v>7</v>
      </c>
      <c r="B204" s="13" t="s">
        <v>175</v>
      </c>
      <c r="C204" s="5" t="s">
        <v>358</v>
      </c>
      <c r="D204" s="4" t="s">
        <v>279</v>
      </c>
      <c r="E204" s="4"/>
      <c r="F204" s="85" t="s">
        <v>92</v>
      </c>
      <c r="G204" s="49"/>
      <c r="H204" s="87">
        <f t="shared" si="31"/>
        <v>133</v>
      </c>
      <c r="I204" s="87">
        <f t="shared" si="32"/>
        <v>359.59259259259255</v>
      </c>
      <c r="J204" s="87">
        <f t="shared" si="33"/>
        <v>492.59259259259255</v>
      </c>
      <c r="K204" s="4">
        <v>250</v>
      </c>
      <c r="L204" s="71">
        <v>0.53200000000000003</v>
      </c>
      <c r="M204" s="4">
        <v>0.27</v>
      </c>
      <c r="N204" s="32">
        <f t="shared" si="34"/>
        <v>0.35820448877805489</v>
      </c>
      <c r="O204" s="80">
        <v>7.666666666666667</v>
      </c>
      <c r="P204" s="5">
        <v>40</v>
      </c>
      <c r="Q204" s="13">
        <v>10</v>
      </c>
    </row>
    <row r="205" spans="1:17" ht="15.75" hidden="1" customHeight="1">
      <c r="A205" s="4">
        <v>7</v>
      </c>
      <c r="B205" s="13" t="s">
        <v>175</v>
      </c>
      <c r="C205" s="5" t="s">
        <v>358</v>
      </c>
      <c r="D205" s="4" t="s">
        <v>279</v>
      </c>
      <c r="E205" s="4"/>
      <c r="F205" s="4" t="s">
        <v>226</v>
      </c>
      <c r="G205" s="49"/>
      <c r="H205" s="87">
        <f t="shared" si="31"/>
        <v>55.999999999999993</v>
      </c>
      <c r="I205" s="87">
        <f t="shared" si="32"/>
        <v>743.99999999999977</v>
      </c>
      <c r="J205" s="87">
        <f t="shared" si="33"/>
        <v>799.99999999999977</v>
      </c>
      <c r="K205" s="4">
        <v>250</v>
      </c>
      <c r="L205" s="71">
        <v>0.22399999999999998</v>
      </c>
      <c r="M205" s="4">
        <v>7.0000000000000007E-2</v>
      </c>
      <c r="N205" s="32">
        <f t="shared" si="34"/>
        <v>0.10666666666666667</v>
      </c>
      <c r="O205" s="80">
        <v>8.5</v>
      </c>
      <c r="P205" s="5">
        <v>56</v>
      </c>
      <c r="Q205" s="13">
        <v>11</v>
      </c>
    </row>
    <row r="206" spans="1:17" ht="15.75" hidden="1" customHeight="1">
      <c r="A206" s="4">
        <v>7</v>
      </c>
      <c r="B206" s="13" t="s">
        <v>175</v>
      </c>
      <c r="C206" s="5" t="s">
        <v>358</v>
      </c>
      <c r="D206" s="4" t="s">
        <v>279</v>
      </c>
      <c r="E206" s="4"/>
      <c r="F206" s="65" t="s">
        <v>25</v>
      </c>
      <c r="G206" s="49"/>
      <c r="H206" s="87">
        <f t="shared" si="31"/>
        <v>158</v>
      </c>
      <c r="I206" s="87">
        <f t="shared" si="32"/>
        <v>1.5959595959595845</v>
      </c>
      <c r="J206" s="87">
        <f t="shared" si="33"/>
        <v>159.59595959595958</v>
      </c>
      <c r="K206" s="4">
        <v>250</v>
      </c>
      <c r="L206" s="71">
        <v>0.63200000000000001</v>
      </c>
      <c r="M206" s="4">
        <v>0.99</v>
      </c>
      <c r="N206" s="32">
        <f t="shared" si="34"/>
        <v>0.77149198520345263</v>
      </c>
      <c r="O206" s="80">
        <v>12.166666666666666</v>
      </c>
      <c r="P206" s="5">
        <v>6</v>
      </c>
      <c r="Q206" s="13">
        <v>12</v>
      </c>
    </row>
    <row r="207" spans="1:17" ht="15.75" customHeight="1">
      <c r="A207" s="4">
        <v>7</v>
      </c>
      <c r="B207" s="13" t="s">
        <v>175</v>
      </c>
      <c r="C207" s="5" t="s">
        <v>358</v>
      </c>
      <c r="D207" s="4" t="s">
        <v>279</v>
      </c>
      <c r="E207" s="4"/>
      <c r="F207" s="86" t="s">
        <v>99</v>
      </c>
      <c r="G207" s="49"/>
      <c r="H207" s="87">
        <f t="shared" si="31"/>
        <v>102</v>
      </c>
      <c r="I207" s="87">
        <f t="shared" si="32"/>
        <v>83.454545454545439</v>
      </c>
      <c r="J207" s="87">
        <f t="shared" si="33"/>
        <v>185.45454545454544</v>
      </c>
      <c r="K207" s="4">
        <v>250</v>
      </c>
      <c r="L207" s="71">
        <v>0.40799999999999997</v>
      </c>
      <c r="M207" s="4">
        <v>0.55000000000000004</v>
      </c>
      <c r="N207" s="32">
        <f t="shared" si="34"/>
        <v>0.46847599164926934</v>
      </c>
      <c r="O207" s="80">
        <v>24.333333333333332</v>
      </c>
      <c r="P207" s="5">
        <v>16</v>
      </c>
      <c r="Q207" s="13">
        <v>13</v>
      </c>
    </row>
    <row r="208" spans="1:17" ht="15.75" hidden="1" customHeight="1">
      <c r="A208" s="4">
        <v>7</v>
      </c>
      <c r="B208" s="13" t="s">
        <v>175</v>
      </c>
      <c r="C208" s="5" t="s">
        <v>358</v>
      </c>
      <c r="D208" s="4" t="s">
        <v>279</v>
      </c>
      <c r="E208" s="4"/>
      <c r="F208" s="89" t="s">
        <v>23</v>
      </c>
      <c r="G208" s="49"/>
      <c r="H208" s="87">
        <f t="shared" si="31"/>
        <v>190</v>
      </c>
      <c r="I208" s="87">
        <f t="shared" si="32"/>
        <v>14.301075268817186</v>
      </c>
      <c r="J208" s="87">
        <f t="shared" si="33"/>
        <v>204.30107526881719</v>
      </c>
      <c r="K208" s="4">
        <v>250</v>
      </c>
      <c r="L208" s="71">
        <v>0.76</v>
      </c>
      <c r="M208" s="4">
        <v>0.93</v>
      </c>
      <c r="N208" s="32">
        <f t="shared" si="34"/>
        <v>0.83644970414201192</v>
      </c>
      <c r="O208" s="80">
        <v>24.666666666666668</v>
      </c>
      <c r="P208" s="5">
        <v>8</v>
      </c>
      <c r="Q208" s="13">
        <v>14</v>
      </c>
    </row>
    <row r="209" spans="1:17" ht="15.75" hidden="1" customHeight="1">
      <c r="A209" s="4">
        <v>7</v>
      </c>
      <c r="B209" s="13" t="s">
        <v>175</v>
      </c>
      <c r="C209" s="5" t="s">
        <v>358</v>
      </c>
      <c r="D209" s="4" t="s">
        <v>279</v>
      </c>
      <c r="E209" s="4"/>
      <c r="F209" s="54" t="s">
        <v>13</v>
      </c>
      <c r="G209" s="49"/>
      <c r="H209" s="87">
        <f t="shared" si="31"/>
        <v>150</v>
      </c>
      <c r="I209" s="87">
        <f t="shared" si="32"/>
        <v>42.307692307692292</v>
      </c>
      <c r="J209" s="87">
        <f t="shared" si="33"/>
        <v>192.30769230769229</v>
      </c>
      <c r="K209" s="4">
        <v>250</v>
      </c>
      <c r="L209" s="71">
        <v>0.6</v>
      </c>
      <c r="M209" s="4">
        <v>0.78</v>
      </c>
      <c r="N209" s="32">
        <f t="shared" si="34"/>
        <v>0.67826086956521736</v>
      </c>
      <c r="O209" s="80">
        <v>27</v>
      </c>
      <c r="P209" s="5">
        <v>15</v>
      </c>
      <c r="Q209" s="13">
        <v>15</v>
      </c>
    </row>
    <row r="210" spans="1:17" ht="15.75" hidden="1" customHeight="1">
      <c r="A210" s="4">
        <v>7</v>
      </c>
      <c r="B210" s="13" t="s">
        <v>175</v>
      </c>
      <c r="C210" s="5" t="s">
        <v>358</v>
      </c>
      <c r="D210" s="4" t="s">
        <v>279</v>
      </c>
      <c r="E210" s="4"/>
      <c r="F210" s="81" t="s">
        <v>21</v>
      </c>
      <c r="G210" s="49"/>
      <c r="H210" s="87">
        <f t="shared" si="31"/>
        <v>204</v>
      </c>
      <c r="I210" s="87">
        <f t="shared" si="32"/>
        <v>319.07692307692309</v>
      </c>
      <c r="J210" s="87">
        <f t="shared" si="33"/>
        <v>523.07692307692309</v>
      </c>
      <c r="K210" s="4">
        <v>250</v>
      </c>
      <c r="L210" s="71">
        <v>0.81599999999999995</v>
      </c>
      <c r="M210" s="4">
        <v>0.39</v>
      </c>
      <c r="N210" s="32">
        <f t="shared" si="34"/>
        <v>0.52776119402985067</v>
      </c>
      <c r="O210" s="80">
        <v>28.583333333333332</v>
      </c>
      <c r="P210" s="5">
        <v>4</v>
      </c>
      <c r="Q210" s="13">
        <v>16</v>
      </c>
    </row>
    <row r="211" spans="1:17" ht="15.75" hidden="1" customHeight="1">
      <c r="A211" s="4">
        <v>7</v>
      </c>
      <c r="B211" s="13" t="s">
        <v>175</v>
      </c>
      <c r="C211" s="5" t="s">
        <v>359</v>
      </c>
      <c r="D211" s="4" t="s">
        <v>279</v>
      </c>
      <c r="E211" s="4"/>
      <c r="F211" s="69" t="s">
        <v>14</v>
      </c>
      <c r="G211" s="97"/>
      <c r="H211" s="87">
        <f t="shared" si="31"/>
        <v>227</v>
      </c>
      <c r="I211" s="87">
        <f t="shared" si="32"/>
        <v>67.805194805194787</v>
      </c>
      <c r="J211" s="87">
        <f t="shared" si="33"/>
        <v>294.80519480519479</v>
      </c>
      <c r="K211" s="4">
        <v>250</v>
      </c>
      <c r="L211" s="71">
        <v>0.90800000000000003</v>
      </c>
      <c r="M211" s="4">
        <v>0.77</v>
      </c>
      <c r="N211" s="32">
        <f t="shared" si="34"/>
        <v>0.83332538736591188</v>
      </c>
      <c r="O211" s="4"/>
      <c r="P211" s="5"/>
    </row>
    <row r="212" spans="1:17" ht="15.75" hidden="1" customHeight="1">
      <c r="A212" s="4">
        <v>7</v>
      </c>
      <c r="B212" s="13" t="s">
        <v>175</v>
      </c>
      <c r="C212" s="5" t="s">
        <v>359</v>
      </c>
      <c r="D212" s="4" t="s">
        <v>279</v>
      </c>
      <c r="E212" s="4"/>
      <c r="F212" s="91" t="s">
        <v>150</v>
      </c>
      <c r="G212" s="97"/>
      <c r="H212" s="87">
        <f t="shared" si="31"/>
        <v>208.00000000000003</v>
      </c>
      <c r="I212" s="87">
        <f t="shared" si="32"/>
        <v>89.142857142857196</v>
      </c>
      <c r="J212" s="87">
        <f t="shared" si="33"/>
        <v>297.14285714285722</v>
      </c>
      <c r="K212" s="4">
        <v>250</v>
      </c>
      <c r="L212" s="71">
        <v>0.83200000000000007</v>
      </c>
      <c r="M212" s="4">
        <v>0.7</v>
      </c>
      <c r="N212" s="32">
        <f t="shared" si="34"/>
        <v>0.760313315926893</v>
      </c>
      <c r="O212" s="4"/>
      <c r="P212" s="5"/>
    </row>
    <row r="213" spans="1:17" ht="15.75" hidden="1" customHeight="1">
      <c r="A213" s="4">
        <v>7</v>
      </c>
      <c r="B213" s="13" t="s">
        <v>175</v>
      </c>
      <c r="C213" s="5" t="s">
        <v>359</v>
      </c>
      <c r="D213" s="4" t="s">
        <v>279</v>
      </c>
      <c r="E213" s="4"/>
      <c r="F213" s="74" t="s">
        <v>193</v>
      </c>
      <c r="G213" s="49"/>
      <c r="H213" s="87">
        <f t="shared" si="31"/>
        <v>162</v>
      </c>
      <c r="I213" s="87">
        <f t="shared" si="32"/>
        <v>40.5</v>
      </c>
      <c r="J213" s="87">
        <f t="shared" si="33"/>
        <v>202.5</v>
      </c>
      <c r="K213" s="4">
        <v>250</v>
      </c>
      <c r="L213" s="71">
        <v>0.64800000000000002</v>
      </c>
      <c r="M213" s="4">
        <v>0.8</v>
      </c>
      <c r="N213" s="32">
        <f t="shared" si="34"/>
        <v>0.71602209944751394</v>
      </c>
      <c r="O213" s="4"/>
      <c r="P213" s="5"/>
    </row>
    <row r="214" spans="1:17" ht="15.75" hidden="1" customHeight="1">
      <c r="A214" s="4">
        <v>7</v>
      </c>
      <c r="B214" s="13" t="s">
        <v>175</v>
      </c>
      <c r="C214" s="5" t="s">
        <v>359</v>
      </c>
      <c r="D214" s="4" t="s">
        <v>279</v>
      </c>
      <c r="E214" s="4"/>
      <c r="F214" s="95" t="s">
        <v>197</v>
      </c>
      <c r="G214" s="49"/>
      <c r="H214" s="87">
        <f t="shared" si="31"/>
        <v>198</v>
      </c>
      <c r="I214" s="87">
        <f t="shared" si="32"/>
        <v>69.567567567567551</v>
      </c>
      <c r="J214" s="87">
        <f t="shared" si="33"/>
        <v>267.56756756756755</v>
      </c>
      <c r="K214" s="4">
        <v>250</v>
      </c>
      <c r="L214" s="71">
        <v>0.79200000000000004</v>
      </c>
      <c r="M214" s="4">
        <v>0.74</v>
      </c>
      <c r="N214" s="32">
        <f t="shared" si="34"/>
        <v>0.76511749347258495</v>
      </c>
      <c r="O214" s="4"/>
      <c r="P214" s="5"/>
    </row>
    <row r="215" spans="1:17" ht="15.75" hidden="1" customHeight="1">
      <c r="A215" s="4">
        <v>7</v>
      </c>
      <c r="B215" s="13" t="s">
        <v>175</v>
      </c>
      <c r="C215" s="5" t="s">
        <v>359</v>
      </c>
      <c r="D215" s="4" t="s">
        <v>279</v>
      </c>
      <c r="E215" s="4"/>
      <c r="F215" s="44" t="s">
        <v>10</v>
      </c>
      <c r="G215" s="49"/>
      <c r="H215" s="87">
        <f t="shared" si="31"/>
        <v>175.00000000000003</v>
      </c>
      <c r="I215" s="87">
        <f t="shared" si="32"/>
        <v>78.623188405797123</v>
      </c>
      <c r="J215" s="87">
        <f t="shared" si="33"/>
        <v>253.62318840579715</v>
      </c>
      <c r="K215" s="4">
        <v>250</v>
      </c>
      <c r="L215" s="71">
        <v>0.70000000000000007</v>
      </c>
      <c r="M215" s="4">
        <v>0.69</v>
      </c>
      <c r="N215" s="32">
        <f t="shared" si="34"/>
        <v>0.69496402877697838</v>
      </c>
      <c r="O215" s="4"/>
      <c r="P215" s="5"/>
    </row>
    <row r="216" spans="1:17" ht="15.75" hidden="1" customHeight="1">
      <c r="A216" s="4">
        <v>7</v>
      </c>
      <c r="B216" s="13" t="s">
        <v>175</v>
      </c>
      <c r="C216" s="5" t="s">
        <v>359</v>
      </c>
      <c r="D216" s="4" t="s">
        <v>279</v>
      </c>
      <c r="E216" s="4"/>
      <c r="F216" s="76" t="s">
        <v>30</v>
      </c>
      <c r="G216" s="49"/>
      <c r="H216" s="87">
        <f t="shared" si="31"/>
        <v>43</v>
      </c>
      <c r="I216" s="87">
        <f t="shared" si="32"/>
        <v>76.444444444444443</v>
      </c>
      <c r="J216" s="87">
        <f t="shared" si="33"/>
        <v>119.44444444444444</v>
      </c>
      <c r="K216" s="4">
        <v>250</v>
      </c>
      <c r="L216" s="71">
        <v>0.17199999999999999</v>
      </c>
      <c r="M216" s="4">
        <v>0.36</v>
      </c>
      <c r="N216" s="32">
        <f t="shared" si="34"/>
        <v>0.23278195488721801</v>
      </c>
      <c r="O216" s="4"/>
      <c r="P216" s="5"/>
    </row>
    <row r="217" spans="1:17" ht="15.75" hidden="1" customHeight="1">
      <c r="A217" s="4">
        <v>7</v>
      </c>
      <c r="B217" s="68" t="s">
        <v>175</v>
      </c>
      <c r="C217" s="5" t="s">
        <v>359</v>
      </c>
      <c r="D217" s="4" t="s">
        <v>279</v>
      </c>
      <c r="E217" s="4"/>
      <c r="F217" s="96" t="s">
        <v>16</v>
      </c>
      <c r="G217" s="49"/>
      <c r="H217" s="87">
        <f t="shared" si="31"/>
        <v>160</v>
      </c>
      <c r="I217" s="87">
        <f t="shared" si="32"/>
        <v>432.59259259259261</v>
      </c>
      <c r="J217" s="87">
        <f t="shared" si="33"/>
        <v>592.59259259259261</v>
      </c>
      <c r="K217" s="4">
        <v>250</v>
      </c>
      <c r="L217" s="71">
        <v>0.64</v>
      </c>
      <c r="M217" s="4">
        <v>0.27</v>
      </c>
      <c r="N217" s="32">
        <f t="shared" si="34"/>
        <v>0.37978021978021981</v>
      </c>
      <c r="O217" s="4"/>
      <c r="P217" s="5"/>
    </row>
    <row r="218" spans="1:17" ht="15.75" hidden="1" customHeight="1">
      <c r="A218" s="4">
        <v>7</v>
      </c>
      <c r="B218" s="13" t="s">
        <v>175</v>
      </c>
      <c r="C218" s="5" t="s">
        <v>359</v>
      </c>
      <c r="D218" s="4" t="s">
        <v>279</v>
      </c>
      <c r="E218" s="4"/>
      <c r="F218" s="54" t="s">
        <v>13</v>
      </c>
      <c r="G218" s="49"/>
      <c r="H218" s="87">
        <f t="shared" si="31"/>
        <v>161</v>
      </c>
      <c r="I218" s="87">
        <f t="shared" si="32"/>
        <v>42.797468354430379</v>
      </c>
      <c r="J218" s="87">
        <f t="shared" si="33"/>
        <v>203.79746835443038</v>
      </c>
      <c r="K218" s="4">
        <v>250</v>
      </c>
      <c r="L218" s="71">
        <v>0.64400000000000002</v>
      </c>
      <c r="M218" s="4">
        <v>0.79</v>
      </c>
      <c r="N218" s="32">
        <f t="shared" si="34"/>
        <v>0.70956764295676422</v>
      </c>
      <c r="O218" s="4"/>
      <c r="P218" s="5"/>
    </row>
    <row r="219" spans="1:17" ht="15.75" hidden="1" customHeight="1">
      <c r="A219" s="4">
        <v>7</v>
      </c>
      <c r="B219" s="13" t="s">
        <v>175</v>
      </c>
      <c r="C219" s="5" t="s">
        <v>359</v>
      </c>
      <c r="D219" s="4" t="s">
        <v>279</v>
      </c>
      <c r="E219" s="4"/>
      <c r="F219" s="65" t="s">
        <v>25</v>
      </c>
      <c r="G219" s="49"/>
      <c r="H219" s="87">
        <f t="shared" si="31"/>
        <v>162</v>
      </c>
      <c r="I219" s="87">
        <f t="shared" si="32"/>
        <v>1.636363636363626</v>
      </c>
      <c r="J219" s="87">
        <f t="shared" si="33"/>
        <v>163.63636363636363</v>
      </c>
      <c r="K219" s="4">
        <v>250</v>
      </c>
      <c r="L219" s="71">
        <v>0.64800000000000002</v>
      </c>
      <c r="M219" s="4">
        <v>0.99</v>
      </c>
      <c r="N219" s="32">
        <f t="shared" si="34"/>
        <v>0.78329670329670331</v>
      </c>
      <c r="O219" s="4"/>
      <c r="P219" s="5"/>
    </row>
    <row r="220" spans="1:17" ht="15.75" hidden="1" customHeight="1">
      <c r="A220" s="4">
        <v>7</v>
      </c>
      <c r="B220" s="13" t="s">
        <v>175</v>
      </c>
      <c r="C220" s="5" t="s">
        <v>359</v>
      </c>
      <c r="D220" s="4" t="s">
        <v>279</v>
      </c>
      <c r="E220" s="4"/>
      <c r="F220" s="81" t="s">
        <v>21</v>
      </c>
      <c r="G220" s="49"/>
      <c r="H220" s="87">
        <f t="shared" si="31"/>
        <v>205.00000000000003</v>
      </c>
      <c r="I220" s="87">
        <f t="shared" si="32"/>
        <v>295.00000000000011</v>
      </c>
      <c r="J220" s="87">
        <f t="shared" si="33"/>
        <v>500.00000000000011</v>
      </c>
      <c r="K220" s="4">
        <v>250</v>
      </c>
      <c r="L220" s="71">
        <v>0.82000000000000006</v>
      </c>
      <c r="M220" s="4">
        <v>0.41</v>
      </c>
      <c r="N220" s="32">
        <f t="shared" si="34"/>
        <v>0.54666666666666663</v>
      </c>
      <c r="O220" s="4"/>
      <c r="P220" s="5"/>
    </row>
    <row r="221" spans="1:17" ht="15.75" hidden="1" customHeight="1">
      <c r="A221" s="4">
        <v>7</v>
      </c>
      <c r="B221" s="68" t="s">
        <v>175</v>
      </c>
      <c r="C221" s="5" t="s">
        <v>359</v>
      </c>
      <c r="D221" s="4" t="s">
        <v>279</v>
      </c>
      <c r="E221" s="4"/>
      <c r="F221" s="85" t="s">
        <v>92</v>
      </c>
      <c r="G221" s="49"/>
      <c r="H221" s="87">
        <f t="shared" si="31"/>
        <v>177</v>
      </c>
      <c r="I221" s="87">
        <f t="shared" si="32"/>
        <v>455.14285714285711</v>
      </c>
      <c r="J221" s="87">
        <f t="shared" si="33"/>
        <v>632.14285714285711</v>
      </c>
      <c r="K221" s="4">
        <v>250</v>
      </c>
      <c r="L221" s="71">
        <v>0.70799999999999996</v>
      </c>
      <c r="M221" s="4">
        <v>0.28000000000000003</v>
      </c>
      <c r="N221" s="32">
        <f t="shared" si="34"/>
        <v>0.40129554655870447</v>
      </c>
      <c r="O221" s="4"/>
      <c r="P221" s="5"/>
    </row>
    <row r="222" spans="1:17" ht="15.75" hidden="1" customHeight="1">
      <c r="A222" s="4">
        <v>7</v>
      </c>
      <c r="B222" s="13" t="s">
        <v>175</v>
      </c>
      <c r="C222" s="5" t="s">
        <v>359</v>
      </c>
      <c r="D222" s="4" t="s">
        <v>279</v>
      </c>
      <c r="E222" s="4"/>
      <c r="F222" s="89" t="s">
        <v>23</v>
      </c>
      <c r="G222" s="49"/>
      <c r="H222" s="87">
        <f t="shared" si="31"/>
        <v>188</v>
      </c>
      <c r="I222" s="87">
        <f t="shared" si="32"/>
        <v>14.150537634408579</v>
      </c>
      <c r="J222" s="87">
        <f t="shared" si="33"/>
        <v>202.15053763440858</v>
      </c>
      <c r="K222" s="4">
        <v>250</v>
      </c>
      <c r="L222" s="71">
        <v>0.752</v>
      </c>
      <c r="M222" s="4">
        <v>0.93</v>
      </c>
      <c r="N222" s="32">
        <f t="shared" si="34"/>
        <v>0.83158145065398348</v>
      </c>
      <c r="O222" s="4"/>
      <c r="P222" s="5"/>
    </row>
    <row r="223" spans="1:17" ht="15.75" hidden="1" customHeight="1">
      <c r="A223" s="4">
        <v>7</v>
      </c>
      <c r="B223" s="13" t="s">
        <v>175</v>
      </c>
      <c r="C223" s="5" t="s">
        <v>359</v>
      </c>
      <c r="D223" s="4" t="s">
        <v>279</v>
      </c>
      <c r="E223" s="4"/>
      <c r="F223" s="3" t="s">
        <v>164</v>
      </c>
      <c r="G223" s="49"/>
      <c r="H223" s="87">
        <f t="shared" si="31"/>
        <v>201.99999999999997</v>
      </c>
      <c r="I223" s="87">
        <f t="shared" si="32"/>
        <v>47.38271604938268</v>
      </c>
      <c r="J223" s="87">
        <f t="shared" si="33"/>
        <v>249.38271604938265</v>
      </c>
      <c r="K223" s="4">
        <v>250</v>
      </c>
      <c r="L223" s="71">
        <v>0.80799999999999994</v>
      </c>
      <c r="M223" s="4">
        <v>0.81</v>
      </c>
      <c r="N223" s="32">
        <f t="shared" si="34"/>
        <v>0.80899876390605685</v>
      </c>
      <c r="O223" s="4"/>
      <c r="P223" s="5"/>
    </row>
    <row r="224" spans="1:17" ht="15.75" customHeight="1">
      <c r="A224" s="4">
        <v>7</v>
      </c>
      <c r="B224" s="13" t="s">
        <v>175</v>
      </c>
      <c r="C224" s="5" t="s">
        <v>359</v>
      </c>
      <c r="D224" s="4" t="s">
        <v>279</v>
      </c>
      <c r="E224" s="4"/>
      <c r="F224" s="86" t="s">
        <v>99</v>
      </c>
      <c r="G224" s="49"/>
      <c r="H224" s="87">
        <f t="shared" si="31"/>
        <v>89.000000000000014</v>
      </c>
      <c r="I224" s="87">
        <f t="shared" si="32"/>
        <v>69.928571428571431</v>
      </c>
      <c r="J224" s="87">
        <f t="shared" si="33"/>
        <v>158.92857142857144</v>
      </c>
      <c r="K224" s="4">
        <v>250</v>
      </c>
      <c r="L224" s="71">
        <v>0.35600000000000004</v>
      </c>
      <c r="M224" s="4">
        <v>0.56000000000000005</v>
      </c>
      <c r="N224" s="32">
        <f t="shared" si="34"/>
        <v>0.43528384279475985</v>
      </c>
      <c r="O224" s="4"/>
      <c r="P224" s="5"/>
    </row>
    <row r="225" spans="1:16" ht="15.75" hidden="1" customHeight="1">
      <c r="A225" s="4">
        <v>7</v>
      </c>
      <c r="B225" s="13" t="s">
        <v>175</v>
      </c>
      <c r="C225" s="5" t="s">
        <v>359</v>
      </c>
      <c r="D225" s="4" t="s">
        <v>279</v>
      </c>
      <c r="E225" s="4"/>
      <c r="F225" s="4" t="s">
        <v>224</v>
      </c>
      <c r="G225" s="49"/>
      <c r="H225" s="87">
        <f t="shared" si="31"/>
        <v>147</v>
      </c>
      <c r="I225" s="87">
        <f t="shared" si="32"/>
        <v>46.421052631578931</v>
      </c>
      <c r="J225" s="87">
        <f t="shared" si="33"/>
        <v>193.42105263157893</v>
      </c>
      <c r="K225" s="4">
        <v>250</v>
      </c>
      <c r="L225" s="71">
        <v>0.58799999999999997</v>
      </c>
      <c r="M225" s="4">
        <v>0.76</v>
      </c>
      <c r="N225" s="32">
        <f t="shared" si="34"/>
        <v>0.6630267062314541</v>
      </c>
      <c r="O225" s="4"/>
      <c r="P225" s="5"/>
    </row>
    <row r="226" spans="1:16" ht="15.75" hidden="1" customHeight="1">
      <c r="A226" s="4">
        <v>7</v>
      </c>
      <c r="B226" s="13" t="s">
        <v>175</v>
      </c>
      <c r="C226" s="5" t="s">
        <v>359</v>
      </c>
      <c r="D226" s="4" t="s">
        <v>279</v>
      </c>
      <c r="E226" s="4"/>
      <c r="F226" s="4" t="s">
        <v>226</v>
      </c>
      <c r="G226" s="49"/>
      <c r="H226" s="87">
        <f t="shared" si="31"/>
        <v>86</v>
      </c>
      <c r="I226" s="87">
        <f t="shared" si="32"/>
        <v>1142.5714285714284</v>
      </c>
      <c r="J226" s="87">
        <f t="shared" si="33"/>
        <v>1228.5714285714284</v>
      </c>
      <c r="K226" s="4">
        <v>250</v>
      </c>
      <c r="L226" s="71">
        <v>0.34399999999999997</v>
      </c>
      <c r="M226" s="4">
        <v>7.0000000000000007E-2</v>
      </c>
      <c r="N226" s="32">
        <f t="shared" si="34"/>
        <v>0.11632850241545895</v>
      </c>
      <c r="O226" s="4"/>
      <c r="P226" s="5"/>
    </row>
    <row r="227" spans="1:16" ht="15.75" hidden="1" customHeight="1">
      <c r="A227" s="4">
        <v>7</v>
      </c>
      <c r="B227" s="13" t="s">
        <v>175</v>
      </c>
      <c r="C227" s="5" t="s">
        <v>360</v>
      </c>
      <c r="D227" s="4" t="s">
        <v>279</v>
      </c>
      <c r="E227" s="4"/>
      <c r="F227" s="69" t="s">
        <v>14</v>
      </c>
      <c r="G227" s="97"/>
      <c r="H227" s="87">
        <f t="shared" si="31"/>
        <v>226</v>
      </c>
      <c r="I227" s="87">
        <f t="shared" si="32"/>
        <v>60.075949367088583</v>
      </c>
      <c r="J227" s="87">
        <f t="shared" si="33"/>
        <v>286.07594936708858</v>
      </c>
      <c r="K227" s="4">
        <v>250</v>
      </c>
      <c r="L227" s="71">
        <v>0.90400000000000003</v>
      </c>
      <c r="M227" s="4">
        <v>0.79</v>
      </c>
      <c r="N227" s="32">
        <f t="shared" si="34"/>
        <v>0.8431641086186541</v>
      </c>
      <c r="O227" s="4"/>
      <c r="P227" s="5"/>
    </row>
    <row r="228" spans="1:16" ht="15.75" hidden="1" customHeight="1">
      <c r="A228" s="4">
        <v>7</v>
      </c>
      <c r="B228" s="13" t="s">
        <v>175</v>
      </c>
      <c r="C228" s="5" t="s">
        <v>360</v>
      </c>
      <c r="D228" s="4" t="s">
        <v>279</v>
      </c>
      <c r="E228" s="4"/>
      <c r="F228" s="91" t="s">
        <v>150</v>
      </c>
      <c r="G228" s="97"/>
      <c r="H228" s="87">
        <f t="shared" si="31"/>
        <v>207</v>
      </c>
      <c r="I228" s="87">
        <f t="shared" si="32"/>
        <v>93</v>
      </c>
      <c r="J228" s="87">
        <f t="shared" si="33"/>
        <v>300</v>
      </c>
      <c r="K228" s="4">
        <v>250</v>
      </c>
      <c r="L228" s="71">
        <v>0.82799999999999996</v>
      </c>
      <c r="M228" s="4">
        <v>0.69</v>
      </c>
      <c r="N228" s="32">
        <f t="shared" si="34"/>
        <v>0.7527272727272728</v>
      </c>
      <c r="O228" s="4"/>
      <c r="P228" s="5"/>
    </row>
    <row r="229" spans="1:16" ht="15.75" hidden="1" customHeight="1">
      <c r="A229" s="4">
        <v>7</v>
      </c>
      <c r="B229" s="13" t="s">
        <v>175</v>
      </c>
      <c r="C229" s="5" t="s">
        <v>360</v>
      </c>
      <c r="D229" s="4" t="s">
        <v>279</v>
      </c>
      <c r="E229" s="4"/>
      <c r="F229" s="74" t="s">
        <v>193</v>
      </c>
      <c r="G229" s="49"/>
      <c r="H229" s="87">
        <f t="shared" si="31"/>
        <v>168.99999999999997</v>
      </c>
      <c r="I229" s="87">
        <f t="shared" si="32"/>
        <v>42.249999999999972</v>
      </c>
      <c r="J229" s="87">
        <f t="shared" si="33"/>
        <v>211.24999999999994</v>
      </c>
      <c r="K229" s="4">
        <v>250</v>
      </c>
      <c r="L229" s="71">
        <v>0.67599999999999993</v>
      </c>
      <c r="M229" s="4">
        <v>0.8</v>
      </c>
      <c r="N229" s="32">
        <f t="shared" si="34"/>
        <v>0.73279132791327906</v>
      </c>
      <c r="O229" s="4"/>
      <c r="P229" s="5"/>
    </row>
    <row r="230" spans="1:16" ht="15.75" hidden="1" customHeight="1">
      <c r="A230" s="4">
        <v>7</v>
      </c>
      <c r="B230" s="13" t="s">
        <v>175</v>
      </c>
      <c r="C230" s="5" t="s">
        <v>360</v>
      </c>
      <c r="D230" s="4" t="s">
        <v>279</v>
      </c>
      <c r="E230" s="4"/>
      <c r="F230" s="95" t="s">
        <v>197</v>
      </c>
      <c r="G230" s="49"/>
      <c r="H230" s="87">
        <f t="shared" si="31"/>
        <v>197</v>
      </c>
      <c r="I230" s="87">
        <f t="shared" si="32"/>
        <v>58.844155844155836</v>
      </c>
      <c r="J230" s="87">
        <f t="shared" si="33"/>
        <v>255.84415584415584</v>
      </c>
      <c r="K230" s="4">
        <v>250</v>
      </c>
      <c r="L230" s="71">
        <v>0.78800000000000003</v>
      </c>
      <c r="M230" s="4">
        <v>0.77</v>
      </c>
      <c r="N230" s="32">
        <f t="shared" si="34"/>
        <v>0.77889602053915286</v>
      </c>
      <c r="O230" s="4"/>
      <c r="P230" s="5"/>
    </row>
    <row r="231" spans="1:16" ht="15.75" hidden="1" customHeight="1">
      <c r="A231" s="4">
        <v>7</v>
      </c>
      <c r="B231" s="13" t="s">
        <v>175</v>
      </c>
      <c r="C231" s="5" t="s">
        <v>360</v>
      </c>
      <c r="D231" s="4" t="s">
        <v>279</v>
      </c>
      <c r="E231" s="4"/>
      <c r="F231" s="44" t="s">
        <v>10</v>
      </c>
      <c r="G231" s="49"/>
      <c r="H231" s="87">
        <f t="shared" si="31"/>
        <v>168.99999999999997</v>
      </c>
      <c r="I231" s="87">
        <f t="shared" si="32"/>
        <v>83.23880597014923</v>
      </c>
      <c r="J231" s="87">
        <f t="shared" si="33"/>
        <v>252.2388059701492</v>
      </c>
      <c r="K231" s="4">
        <v>250</v>
      </c>
      <c r="L231" s="71">
        <v>0.67599999999999993</v>
      </c>
      <c r="M231" s="4">
        <v>0.67</v>
      </c>
      <c r="N231" s="32">
        <f t="shared" si="34"/>
        <v>0.67298662704309054</v>
      </c>
      <c r="O231" s="4"/>
      <c r="P231" s="5"/>
    </row>
    <row r="232" spans="1:16" ht="15.75" hidden="1" customHeight="1">
      <c r="A232" s="4">
        <v>7</v>
      </c>
      <c r="B232" s="13" t="s">
        <v>175</v>
      </c>
      <c r="C232" s="5" t="s">
        <v>360</v>
      </c>
      <c r="D232" s="4" t="s">
        <v>279</v>
      </c>
      <c r="E232" s="4"/>
      <c r="F232" s="76" t="s">
        <v>30</v>
      </c>
      <c r="G232" s="49"/>
      <c r="H232" s="87">
        <f t="shared" si="31"/>
        <v>43</v>
      </c>
      <c r="I232" s="87">
        <f t="shared" si="32"/>
        <v>100.33333333333334</v>
      </c>
      <c r="J232" s="87">
        <f t="shared" si="33"/>
        <v>143.33333333333334</v>
      </c>
      <c r="K232" s="4">
        <v>250</v>
      </c>
      <c r="L232" s="71">
        <v>0.17199999999999999</v>
      </c>
      <c r="M232" s="4">
        <v>0.3</v>
      </c>
      <c r="N232" s="32">
        <f t="shared" si="34"/>
        <v>0.21864406779661016</v>
      </c>
      <c r="O232" s="4"/>
      <c r="P232" s="5"/>
    </row>
    <row r="233" spans="1:16" ht="15.75" hidden="1" customHeight="1">
      <c r="A233" s="4">
        <v>7</v>
      </c>
      <c r="B233" s="13" t="s">
        <v>175</v>
      </c>
      <c r="C233" s="5" t="s">
        <v>360</v>
      </c>
      <c r="D233" s="4" t="s">
        <v>279</v>
      </c>
      <c r="E233" s="4"/>
      <c r="F233" s="96" t="s">
        <v>16</v>
      </c>
      <c r="G233" s="49"/>
      <c r="H233" s="87">
        <f t="shared" si="31"/>
        <v>150</v>
      </c>
      <c r="I233" s="87">
        <f t="shared" si="32"/>
        <v>426.92307692307691</v>
      </c>
      <c r="J233" s="87">
        <f t="shared" si="33"/>
        <v>576.92307692307691</v>
      </c>
      <c r="K233" s="4">
        <v>250</v>
      </c>
      <c r="L233" s="71">
        <v>0.6</v>
      </c>
      <c r="M233" s="4">
        <v>0.26</v>
      </c>
      <c r="N233" s="32">
        <f t="shared" si="34"/>
        <v>0.36279069767441863</v>
      </c>
      <c r="O233" s="4"/>
      <c r="P233" s="5"/>
    </row>
    <row r="234" spans="1:16" ht="15.75" hidden="1" customHeight="1">
      <c r="A234" s="4">
        <v>7</v>
      </c>
      <c r="B234" s="13" t="s">
        <v>175</v>
      </c>
      <c r="C234" s="5" t="s">
        <v>360</v>
      </c>
      <c r="D234" s="4" t="s">
        <v>279</v>
      </c>
      <c r="E234" s="4"/>
      <c r="F234" s="54" t="s">
        <v>13</v>
      </c>
      <c r="G234" s="49"/>
      <c r="H234" s="87">
        <f t="shared" si="31"/>
        <v>165</v>
      </c>
      <c r="I234" s="87">
        <f t="shared" si="32"/>
        <v>64.166666666666686</v>
      </c>
      <c r="J234" s="87">
        <f t="shared" si="33"/>
        <v>229.16666666666669</v>
      </c>
      <c r="K234" s="4">
        <v>250</v>
      </c>
      <c r="L234" s="71">
        <v>0.66</v>
      </c>
      <c r="M234" s="4">
        <v>0.72</v>
      </c>
      <c r="N234" s="32">
        <f t="shared" si="34"/>
        <v>0.68869565217391315</v>
      </c>
      <c r="O234" s="4"/>
      <c r="P234" s="5"/>
    </row>
    <row r="235" spans="1:16" ht="15.75" hidden="1" customHeight="1">
      <c r="A235" s="4">
        <v>7</v>
      </c>
      <c r="B235" s="13" t="s">
        <v>175</v>
      </c>
      <c r="C235" s="5" t="s">
        <v>360</v>
      </c>
      <c r="D235" s="4" t="s">
        <v>279</v>
      </c>
      <c r="E235" s="4"/>
      <c r="F235" s="65" t="s">
        <v>25</v>
      </c>
      <c r="G235" s="49"/>
      <c r="H235" s="87">
        <f t="shared" si="31"/>
        <v>152</v>
      </c>
      <c r="I235" s="87">
        <f t="shared" si="32"/>
        <v>1.5353535353535506</v>
      </c>
      <c r="J235" s="87">
        <f t="shared" si="33"/>
        <v>153.53535353535355</v>
      </c>
      <c r="K235" s="4">
        <v>250</v>
      </c>
      <c r="L235" s="71">
        <v>0.60799999999999998</v>
      </c>
      <c r="M235" s="4">
        <v>0.99</v>
      </c>
      <c r="N235" s="32">
        <f t="shared" si="34"/>
        <v>0.75334167709637057</v>
      </c>
      <c r="O235" s="4"/>
      <c r="P235" s="5"/>
    </row>
    <row r="236" spans="1:16" ht="15.75" hidden="1" customHeight="1">
      <c r="A236" s="4">
        <v>7</v>
      </c>
      <c r="B236" s="13" t="s">
        <v>175</v>
      </c>
      <c r="C236" s="5" t="s">
        <v>360</v>
      </c>
      <c r="D236" s="4" t="s">
        <v>279</v>
      </c>
      <c r="E236" s="4"/>
      <c r="F236" s="81" t="s">
        <v>21</v>
      </c>
      <c r="G236" s="49"/>
      <c r="H236" s="87">
        <f t="shared" si="31"/>
        <v>200</v>
      </c>
      <c r="I236" s="87">
        <f t="shared" si="32"/>
        <v>300</v>
      </c>
      <c r="J236" s="87">
        <f t="shared" si="33"/>
        <v>500</v>
      </c>
      <c r="K236" s="4">
        <v>250</v>
      </c>
      <c r="L236" s="71">
        <v>0.8</v>
      </c>
      <c r="M236" s="4">
        <v>0.4</v>
      </c>
      <c r="N236" s="32">
        <f t="shared" si="34"/>
        <v>0.53333333333333333</v>
      </c>
      <c r="O236" s="4"/>
      <c r="P236" s="5"/>
    </row>
    <row r="237" spans="1:16" ht="15.75" hidden="1" customHeight="1">
      <c r="A237" s="4">
        <v>7</v>
      </c>
      <c r="B237" s="13" t="s">
        <v>175</v>
      </c>
      <c r="C237" s="5" t="s">
        <v>360</v>
      </c>
      <c r="D237" s="4" t="s">
        <v>279</v>
      </c>
      <c r="E237" s="4"/>
      <c r="F237" s="85" t="s">
        <v>92</v>
      </c>
      <c r="G237" s="49"/>
      <c r="H237" s="87">
        <f t="shared" si="31"/>
        <v>182</v>
      </c>
      <c r="I237" s="87">
        <f t="shared" si="32"/>
        <v>467.99999999999989</v>
      </c>
      <c r="J237" s="87">
        <f t="shared" si="33"/>
        <v>649.99999999999989</v>
      </c>
      <c r="K237" s="4">
        <v>250</v>
      </c>
      <c r="L237" s="71">
        <v>0.72799999999999998</v>
      </c>
      <c r="M237" s="4">
        <v>0.28000000000000003</v>
      </c>
      <c r="N237" s="32">
        <f t="shared" si="34"/>
        <v>0.4044444444444445</v>
      </c>
      <c r="O237" s="49"/>
      <c r="P237" s="5"/>
    </row>
    <row r="238" spans="1:16" ht="15.75" hidden="1" customHeight="1">
      <c r="A238" s="4">
        <v>7</v>
      </c>
      <c r="B238" s="13" t="s">
        <v>175</v>
      </c>
      <c r="C238" s="5" t="s">
        <v>360</v>
      </c>
      <c r="D238" s="4" t="s">
        <v>279</v>
      </c>
      <c r="E238" s="4"/>
      <c r="F238" s="89" t="s">
        <v>23</v>
      </c>
      <c r="G238" s="49"/>
      <c r="H238" s="87">
        <f t="shared" si="31"/>
        <v>177</v>
      </c>
      <c r="I238" s="87">
        <f t="shared" si="32"/>
        <v>15.391304347826065</v>
      </c>
      <c r="J238" s="87">
        <f t="shared" si="33"/>
        <v>192.39130434782606</v>
      </c>
      <c r="K238" s="4">
        <v>250</v>
      </c>
      <c r="L238" s="71">
        <v>0.70799999999999996</v>
      </c>
      <c r="M238" s="4">
        <v>0.92</v>
      </c>
      <c r="N238" s="32">
        <f t="shared" si="34"/>
        <v>0.80019656019656005</v>
      </c>
      <c r="O238" s="4"/>
      <c r="P238" s="5"/>
    </row>
    <row r="239" spans="1:16" ht="15.75" hidden="1" customHeight="1">
      <c r="A239" s="4">
        <v>7</v>
      </c>
      <c r="B239" s="13" t="s">
        <v>175</v>
      </c>
      <c r="C239" s="5" t="s">
        <v>360</v>
      </c>
      <c r="D239" s="4" t="s">
        <v>279</v>
      </c>
      <c r="E239" s="4"/>
      <c r="F239" s="3" t="s">
        <v>164</v>
      </c>
      <c r="G239" s="49"/>
      <c r="H239" s="87">
        <f t="shared" si="31"/>
        <v>198.99999999999997</v>
      </c>
      <c r="I239" s="87">
        <f t="shared" si="32"/>
        <v>43.682926829268297</v>
      </c>
      <c r="J239" s="87">
        <f t="shared" si="33"/>
        <v>242.68292682926827</v>
      </c>
      <c r="K239" s="4">
        <v>250</v>
      </c>
      <c r="L239" s="71">
        <v>0.79599999999999993</v>
      </c>
      <c r="M239" s="4">
        <v>0.82</v>
      </c>
      <c r="N239" s="32">
        <f t="shared" si="34"/>
        <v>0.80782178217821765</v>
      </c>
      <c r="O239" s="4"/>
      <c r="P239" s="5"/>
    </row>
    <row r="240" spans="1:16" ht="15.75" customHeight="1">
      <c r="A240" s="4">
        <v>7</v>
      </c>
      <c r="B240" s="13" t="s">
        <v>175</v>
      </c>
      <c r="C240" s="5" t="s">
        <v>360</v>
      </c>
      <c r="D240" s="4" t="s">
        <v>279</v>
      </c>
      <c r="E240" s="4"/>
      <c r="F240" s="86" t="s">
        <v>99</v>
      </c>
      <c r="G240" s="49"/>
      <c r="H240" s="87">
        <f t="shared" si="31"/>
        <v>68</v>
      </c>
      <c r="I240" s="87">
        <f t="shared" si="32"/>
        <v>51.298245614035096</v>
      </c>
      <c r="J240" s="87">
        <f t="shared" si="33"/>
        <v>119.2982456140351</v>
      </c>
      <c r="K240" s="4">
        <v>250</v>
      </c>
      <c r="L240" s="71">
        <v>0.27200000000000002</v>
      </c>
      <c r="M240" s="4">
        <v>0.56999999999999995</v>
      </c>
      <c r="N240" s="32">
        <f t="shared" si="34"/>
        <v>0.3682660332541568</v>
      </c>
      <c r="O240" s="4"/>
      <c r="P240" s="5"/>
    </row>
    <row r="241" spans="1:17" ht="15.75" hidden="1" customHeight="1">
      <c r="A241" s="4">
        <v>7</v>
      </c>
      <c r="B241" s="13" t="s">
        <v>175</v>
      </c>
      <c r="C241" s="5" t="s">
        <v>360</v>
      </c>
      <c r="D241" s="4" t="s">
        <v>279</v>
      </c>
      <c r="E241" s="4"/>
      <c r="F241" s="4" t="s">
        <v>224</v>
      </c>
      <c r="G241" s="49"/>
      <c r="H241" s="87">
        <f t="shared" si="31"/>
        <v>139</v>
      </c>
      <c r="I241" s="87">
        <f t="shared" si="32"/>
        <v>36.949367088607573</v>
      </c>
      <c r="J241" s="87">
        <f t="shared" si="33"/>
        <v>175.94936708860757</v>
      </c>
      <c r="K241" s="4">
        <v>250</v>
      </c>
      <c r="L241" s="71">
        <v>0.55600000000000005</v>
      </c>
      <c r="M241" s="4">
        <v>0.79</v>
      </c>
      <c r="N241" s="32">
        <f t="shared" si="34"/>
        <v>0.65265973254086185</v>
      </c>
      <c r="O241" s="4"/>
      <c r="P241" s="5"/>
    </row>
    <row r="242" spans="1:17" ht="15.75" hidden="1" customHeight="1">
      <c r="A242" s="4">
        <v>7</v>
      </c>
      <c r="B242" s="13" t="s">
        <v>175</v>
      </c>
      <c r="C242" s="5" t="s">
        <v>360</v>
      </c>
      <c r="D242" s="4" t="s">
        <v>279</v>
      </c>
      <c r="E242" s="4"/>
      <c r="F242" s="4" t="s">
        <v>226</v>
      </c>
      <c r="G242" s="49"/>
      <c r="H242" s="87">
        <f t="shared" si="31"/>
        <v>85</v>
      </c>
      <c r="I242" s="87">
        <f t="shared" si="32"/>
        <v>977.5</v>
      </c>
      <c r="J242" s="87">
        <f t="shared" si="33"/>
        <v>1062.5</v>
      </c>
      <c r="K242" s="4">
        <v>250</v>
      </c>
      <c r="L242" s="71">
        <v>0.34</v>
      </c>
      <c r="M242" s="4">
        <v>0.08</v>
      </c>
      <c r="N242" s="32">
        <f t="shared" si="34"/>
        <v>0.12952380952380951</v>
      </c>
      <c r="O242" s="4"/>
      <c r="P242" s="5"/>
    </row>
    <row r="243" spans="1:17" ht="15.75" hidden="1" customHeight="1">
      <c r="A243" s="4">
        <v>7</v>
      </c>
      <c r="B243" s="13" t="s">
        <v>175</v>
      </c>
      <c r="C243" s="5" t="s">
        <v>361</v>
      </c>
      <c r="D243" s="4" t="s">
        <v>293</v>
      </c>
      <c r="E243" s="228" t="s">
        <v>333</v>
      </c>
      <c r="F243" s="95" t="s">
        <v>197</v>
      </c>
      <c r="G243" s="49"/>
      <c r="H243" s="87">
        <f t="shared" si="31"/>
        <v>20.025999999999996</v>
      </c>
      <c r="I243" s="87">
        <f t="shared" si="32"/>
        <v>981.27399999999989</v>
      </c>
      <c r="J243" s="87">
        <f t="shared" si="33"/>
        <v>1001.2999999999998</v>
      </c>
      <c r="K243" s="4">
        <v>62</v>
      </c>
      <c r="L243" s="71">
        <v>0.32299999999999995</v>
      </c>
      <c r="M243" s="4">
        <v>0.02</v>
      </c>
      <c r="N243" s="32">
        <f t="shared" si="34"/>
        <v>3.7667638483965017E-2</v>
      </c>
      <c r="O243" s="80">
        <v>0.18333333333333332</v>
      </c>
      <c r="P243" s="5">
        <v>5</v>
      </c>
      <c r="Q243" s="13">
        <v>1</v>
      </c>
    </row>
    <row r="244" spans="1:17" ht="15.75" hidden="1" customHeight="1">
      <c r="A244" s="4">
        <v>7</v>
      </c>
      <c r="B244" s="13" t="s">
        <v>175</v>
      </c>
      <c r="C244" s="5" t="s">
        <v>361</v>
      </c>
      <c r="D244" s="4" t="s">
        <v>293</v>
      </c>
      <c r="E244" s="229"/>
      <c r="F244" s="91" t="s">
        <v>150</v>
      </c>
      <c r="G244" s="49"/>
      <c r="H244" s="87">
        <f t="shared" si="31"/>
        <v>29.015999999999998</v>
      </c>
      <c r="I244" s="87">
        <f t="shared" si="32"/>
        <v>74.612571428571414</v>
      </c>
      <c r="J244" s="87">
        <f t="shared" si="33"/>
        <v>103.62857142857142</v>
      </c>
      <c r="K244" s="4">
        <v>62</v>
      </c>
      <c r="L244" s="71">
        <v>0.46799999999999997</v>
      </c>
      <c r="M244" s="4">
        <v>0.28000000000000003</v>
      </c>
      <c r="N244" s="32">
        <f t="shared" si="34"/>
        <v>0.35037433155080216</v>
      </c>
      <c r="O244" s="80">
        <v>0.66666666666666663</v>
      </c>
      <c r="P244" s="5">
        <v>6</v>
      </c>
      <c r="Q244" s="13">
        <v>2</v>
      </c>
    </row>
    <row r="245" spans="1:17" ht="15.75" hidden="1" customHeight="1">
      <c r="A245" s="4">
        <v>7</v>
      </c>
      <c r="B245" s="13" t="s">
        <v>175</v>
      </c>
      <c r="C245" s="5" t="s">
        <v>361</v>
      </c>
      <c r="D245" s="4" t="s">
        <v>293</v>
      </c>
      <c r="E245" s="229"/>
      <c r="F245" s="76" t="s">
        <v>30</v>
      </c>
      <c r="G245" s="49"/>
      <c r="H245" s="87">
        <f t="shared" si="31"/>
        <v>0</v>
      </c>
      <c r="I245" s="87">
        <f t="shared" si="32"/>
        <v>0</v>
      </c>
      <c r="J245" s="87">
        <v>0</v>
      </c>
      <c r="K245" s="4">
        <v>62</v>
      </c>
      <c r="L245" s="71">
        <v>0</v>
      </c>
      <c r="M245" s="4">
        <v>0</v>
      </c>
      <c r="N245" s="32"/>
      <c r="O245" s="80">
        <v>1</v>
      </c>
      <c r="P245" s="5">
        <v>28</v>
      </c>
      <c r="Q245" s="13">
        <v>3</v>
      </c>
    </row>
    <row r="246" spans="1:17" ht="15.75" hidden="1" customHeight="1">
      <c r="A246" s="4">
        <v>7</v>
      </c>
      <c r="B246" s="13" t="s">
        <v>175</v>
      </c>
      <c r="C246" s="5" t="s">
        <v>361</v>
      </c>
      <c r="D246" s="4" t="s">
        <v>293</v>
      </c>
      <c r="E246" s="229"/>
      <c r="F246" s="69" t="s">
        <v>14</v>
      </c>
      <c r="G246" s="49"/>
      <c r="H246" s="87">
        <f t="shared" si="31"/>
        <v>6.0139999999999993</v>
      </c>
      <c r="I246" s="87">
        <f t="shared" si="32"/>
        <v>54.125999999999991</v>
      </c>
      <c r="J246" s="87">
        <f t="shared" ref="J246:J290" si="35">H246/M246</f>
        <v>60.139999999999993</v>
      </c>
      <c r="K246" s="4">
        <v>62</v>
      </c>
      <c r="L246" s="71">
        <v>9.6999999999999989E-2</v>
      </c>
      <c r="M246" s="4">
        <v>0.1</v>
      </c>
      <c r="N246" s="32">
        <f t="shared" ref="N246:N290" si="36">2*M246*L246/(M246+L246)</f>
        <v>9.847715736040609E-2</v>
      </c>
      <c r="O246" s="80">
        <v>1.25</v>
      </c>
      <c r="P246" s="5">
        <v>30</v>
      </c>
      <c r="Q246" s="13">
        <v>4</v>
      </c>
    </row>
    <row r="247" spans="1:17" ht="15.75" hidden="1" customHeight="1">
      <c r="A247" s="4">
        <v>7</v>
      </c>
      <c r="B247" s="13" t="s">
        <v>175</v>
      </c>
      <c r="C247" s="5" t="s">
        <v>361</v>
      </c>
      <c r="D247" s="4" t="s">
        <v>293</v>
      </c>
      <c r="E247" s="229"/>
      <c r="F247" s="44" t="s">
        <v>10</v>
      </c>
      <c r="G247" s="49"/>
      <c r="H247" s="87">
        <f t="shared" si="31"/>
        <v>5.0220000000000002</v>
      </c>
      <c r="I247" s="87">
        <f t="shared" si="32"/>
        <v>24.519176470588235</v>
      </c>
      <c r="J247" s="87">
        <f t="shared" si="35"/>
        <v>29.541176470588233</v>
      </c>
      <c r="K247" s="4">
        <v>62</v>
      </c>
      <c r="L247" s="71">
        <v>8.1000000000000003E-2</v>
      </c>
      <c r="M247" s="4">
        <v>0.17</v>
      </c>
      <c r="N247" s="32">
        <f t="shared" si="36"/>
        <v>0.10972111553784861</v>
      </c>
      <c r="O247" s="80">
        <v>2.8333333333333335</v>
      </c>
      <c r="P247" s="5">
        <v>37</v>
      </c>
      <c r="Q247" s="13">
        <v>5</v>
      </c>
    </row>
    <row r="248" spans="1:17" ht="15.75" hidden="1" customHeight="1">
      <c r="A248" s="4">
        <v>7</v>
      </c>
      <c r="B248" s="13" t="s">
        <v>175</v>
      </c>
      <c r="C248" s="5" t="s">
        <v>361</v>
      </c>
      <c r="D248" s="4" t="s">
        <v>293</v>
      </c>
      <c r="E248" s="229"/>
      <c r="F248" s="54" t="s">
        <v>13</v>
      </c>
      <c r="G248" s="49"/>
      <c r="H248" s="87">
        <f t="shared" si="31"/>
        <v>21.017999999999997</v>
      </c>
      <c r="I248" s="87">
        <f t="shared" si="32"/>
        <v>63.053999999999988</v>
      </c>
      <c r="J248" s="87">
        <f t="shared" si="35"/>
        <v>84.071999999999989</v>
      </c>
      <c r="K248" s="4">
        <v>62</v>
      </c>
      <c r="L248" s="71">
        <v>0.33899999999999997</v>
      </c>
      <c r="M248" s="4">
        <v>0.25</v>
      </c>
      <c r="N248" s="32">
        <f t="shared" si="36"/>
        <v>0.28777589134125636</v>
      </c>
      <c r="O248" s="80">
        <v>3.6666666666666665</v>
      </c>
      <c r="P248" s="5">
        <v>16</v>
      </c>
      <c r="Q248" s="13">
        <v>6</v>
      </c>
    </row>
    <row r="249" spans="1:17" ht="15.75" hidden="1" customHeight="1">
      <c r="A249" s="4">
        <v>7</v>
      </c>
      <c r="B249" s="13" t="s">
        <v>175</v>
      </c>
      <c r="C249" s="5" t="s">
        <v>361</v>
      </c>
      <c r="D249" s="4" t="s">
        <v>293</v>
      </c>
      <c r="E249" s="229"/>
      <c r="F249" s="96" t="s">
        <v>16</v>
      </c>
      <c r="G249" s="49"/>
      <c r="H249" s="87">
        <f t="shared" si="31"/>
        <v>24.985999999999997</v>
      </c>
      <c r="I249" s="87">
        <f t="shared" si="32"/>
        <v>474.73399999999992</v>
      </c>
      <c r="J249" s="87">
        <f t="shared" si="35"/>
        <v>499.71999999999991</v>
      </c>
      <c r="K249" s="4">
        <v>62</v>
      </c>
      <c r="L249" s="71">
        <v>0.40299999999999997</v>
      </c>
      <c r="M249" s="4">
        <v>0.05</v>
      </c>
      <c r="N249" s="32">
        <f t="shared" si="36"/>
        <v>8.8962472406181034E-2</v>
      </c>
      <c r="O249" s="80">
        <v>7.666666666666667</v>
      </c>
      <c r="P249" s="5">
        <v>6</v>
      </c>
      <c r="Q249" s="13">
        <v>7</v>
      </c>
    </row>
    <row r="250" spans="1:17" ht="15.75" hidden="1" customHeight="1">
      <c r="A250" s="4">
        <v>7</v>
      </c>
      <c r="B250" s="13" t="s">
        <v>175</v>
      </c>
      <c r="C250" s="5" t="s">
        <v>361</v>
      </c>
      <c r="D250" s="4" t="s">
        <v>293</v>
      </c>
      <c r="E250" s="229"/>
      <c r="F250" s="85" t="s">
        <v>92</v>
      </c>
      <c r="G250" s="49"/>
      <c r="H250" s="87">
        <f t="shared" si="31"/>
        <v>45.012</v>
      </c>
      <c r="I250" s="87">
        <f t="shared" si="32"/>
        <v>2205.5879999999997</v>
      </c>
      <c r="J250" s="87">
        <f t="shared" si="35"/>
        <v>2250.6</v>
      </c>
      <c r="K250" s="4">
        <v>62</v>
      </c>
      <c r="L250" s="71">
        <v>0.72599999999999998</v>
      </c>
      <c r="M250" s="4">
        <v>0.02</v>
      </c>
      <c r="N250" s="32">
        <f t="shared" si="36"/>
        <v>3.892761394101877E-2</v>
      </c>
      <c r="O250" s="80">
        <v>8.6666666666666661</v>
      </c>
      <c r="P250" s="5">
        <v>5</v>
      </c>
      <c r="Q250" s="13">
        <v>8</v>
      </c>
    </row>
    <row r="251" spans="1:17" ht="15.75" hidden="1" customHeight="1">
      <c r="A251" s="4">
        <v>7</v>
      </c>
      <c r="B251" s="13" t="s">
        <v>175</v>
      </c>
      <c r="C251" s="5" t="s">
        <v>361</v>
      </c>
      <c r="D251" s="4" t="s">
        <v>293</v>
      </c>
      <c r="E251" s="229"/>
      <c r="F251" s="74" t="s">
        <v>193</v>
      </c>
      <c r="G251" s="49"/>
      <c r="H251" s="87">
        <f t="shared" si="31"/>
        <v>9.9820000000000011</v>
      </c>
      <c r="I251" s="87">
        <f t="shared" si="32"/>
        <v>24.438689655172418</v>
      </c>
      <c r="J251" s="87">
        <f t="shared" si="35"/>
        <v>34.420689655172417</v>
      </c>
      <c r="K251" s="4">
        <v>62</v>
      </c>
      <c r="L251" s="71">
        <v>0.161</v>
      </c>
      <c r="M251" s="4">
        <v>0.28999999999999998</v>
      </c>
      <c r="N251" s="32">
        <f t="shared" si="36"/>
        <v>0.20705099778270511</v>
      </c>
      <c r="O251" s="80">
        <v>11.5</v>
      </c>
      <c r="P251" s="5">
        <v>5</v>
      </c>
      <c r="Q251" s="13">
        <v>9</v>
      </c>
    </row>
    <row r="252" spans="1:17" ht="15.75" hidden="1" customHeight="1">
      <c r="A252" s="4">
        <v>7</v>
      </c>
      <c r="B252" s="13" t="s">
        <v>175</v>
      </c>
      <c r="C252" s="5" t="s">
        <v>361</v>
      </c>
      <c r="D252" s="4" t="s">
        <v>293</v>
      </c>
      <c r="E252" s="229"/>
      <c r="F252" s="3" t="s">
        <v>164</v>
      </c>
      <c r="G252" s="49"/>
      <c r="H252" s="87">
        <f t="shared" si="31"/>
        <v>41.974000000000004</v>
      </c>
      <c r="I252" s="87">
        <f t="shared" si="32"/>
        <v>30.394965517241388</v>
      </c>
      <c r="J252" s="87">
        <f t="shared" si="35"/>
        <v>72.368965517241392</v>
      </c>
      <c r="K252" s="4">
        <v>62</v>
      </c>
      <c r="L252" s="71">
        <v>0.67700000000000005</v>
      </c>
      <c r="M252" s="4">
        <v>0.57999999999999996</v>
      </c>
      <c r="N252" s="32">
        <f t="shared" si="36"/>
        <v>0.62475735879077166</v>
      </c>
      <c r="O252" s="80">
        <v>12.166666666666666</v>
      </c>
      <c r="P252" s="5">
        <v>6</v>
      </c>
      <c r="Q252" s="13">
        <v>10</v>
      </c>
    </row>
    <row r="253" spans="1:17" ht="15.75" hidden="1" customHeight="1">
      <c r="A253" s="4">
        <v>7</v>
      </c>
      <c r="B253" s="13" t="s">
        <v>175</v>
      </c>
      <c r="C253" s="5" t="s">
        <v>361</v>
      </c>
      <c r="D253" s="4" t="s">
        <v>293</v>
      </c>
      <c r="E253" s="229"/>
      <c r="F253" s="81" t="s">
        <v>21</v>
      </c>
      <c r="G253" s="49"/>
      <c r="H253" s="87">
        <f t="shared" si="31"/>
        <v>33.975999999999999</v>
      </c>
      <c r="I253" s="87">
        <f t="shared" si="32"/>
        <v>815.42399999999998</v>
      </c>
      <c r="J253" s="87">
        <f t="shared" si="35"/>
        <v>849.4</v>
      </c>
      <c r="K253" s="4">
        <v>62</v>
      </c>
      <c r="L253" s="71">
        <v>0.54799999999999993</v>
      </c>
      <c r="M253" s="4">
        <v>0.04</v>
      </c>
      <c r="N253" s="32">
        <f t="shared" si="36"/>
        <v>7.4557823129251702E-2</v>
      </c>
      <c r="O253" s="80">
        <v>12.5</v>
      </c>
      <c r="P253" s="5">
        <v>4</v>
      </c>
      <c r="Q253" s="13">
        <v>11</v>
      </c>
    </row>
    <row r="254" spans="1:17" ht="15.75" hidden="1" customHeight="1">
      <c r="A254" s="4">
        <v>7</v>
      </c>
      <c r="B254" s="13" t="s">
        <v>175</v>
      </c>
      <c r="C254" s="5" t="s">
        <v>361</v>
      </c>
      <c r="D254" s="4" t="s">
        <v>293</v>
      </c>
      <c r="E254" s="229"/>
      <c r="F254" s="4" t="s">
        <v>224</v>
      </c>
      <c r="G254" s="49"/>
      <c r="H254" s="87">
        <f t="shared" si="31"/>
        <v>2.976</v>
      </c>
      <c r="I254" s="87">
        <f t="shared" si="32"/>
        <v>30.090666666666671</v>
      </c>
      <c r="J254" s="87">
        <f t="shared" si="35"/>
        <v>33.06666666666667</v>
      </c>
      <c r="K254" s="4">
        <v>62</v>
      </c>
      <c r="L254" s="71">
        <v>4.8000000000000001E-2</v>
      </c>
      <c r="M254" s="4">
        <v>0.09</v>
      </c>
      <c r="N254" s="32">
        <f t="shared" si="36"/>
        <v>6.2608695652173904E-2</v>
      </c>
      <c r="O254" s="80">
        <v>14.666666666666666</v>
      </c>
      <c r="P254" s="5">
        <v>23</v>
      </c>
      <c r="Q254" s="13">
        <v>12</v>
      </c>
    </row>
    <row r="255" spans="1:17" ht="15.75" hidden="1" customHeight="1">
      <c r="A255" s="4">
        <v>7</v>
      </c>
      <c r="B255" s="13" t="s">
        <v>175</v>
      </c>
      <c r="C255" s="5" t="s">
        <v>361</v>
      </c>
      <c r="D255" s="4" t="s">
        <v>293</v>
      </c>
      <c r="E255" s="229"/>
      <c r="F255" s="4" t="s">
        <v>226</v>
      </c>
      <c r="G255" s="49"/>
      <c r="H255" s="87">
        <f t="shared" si="31"/>
        <v>2.976</v>
      </c>
      <c r="I255" s="87">
        <f t="shared" si="32"/>
        <v>71.423999999999992</v>
      </c>
      <c r="J255" s="87">
        <f t="shared" si="35"/>
        <v>74.399999999999991</v>
      </c>
      <c r="K255" s="4">
        <v>62</v>
      </c>
      <c r="L255" s="71">
        <v>4.8000000000000001E-2</v>
      </c>
      <c r="M255" s="4">
        <v>0.04</v>
      </c>
      <c r="N255" s="32">
        <f t="shared" si="36"/>
        <v>4.363636363636364E-2</v>
      </c>
      <c r="O255" s="80">
        <v>16.166666666666668</v>
      </c>
      <c r="P255" s="5">
        <v>24</v>
      </c>
      <c r="Q255" s="13">
        <v>13</v>
      </c>
    </row>
    <row r="256" spans="1:17" ht="15.75" customHeight="1">
      <c r="A256" s="4">
        <v>7</v>
      </c>
      <c r="B256" s="13" t="s">
        <v>175</v>
      </c>
      <c r="C256" s="5" t="s">
        <v>361</v>
      </c>
      <c r="D256" s="4" t="s">
        <v>293</v>
      </c>
      <c r="E256" s="229"/>
      <c r="F256" s="86" t="s">
        <v>99</v>
      </c>
      <c r="G256" s="49"/>
      <c r="H256" s="87">
        <f t="shared" si="31"/>
        <v>0.99199999999999999</v>
      </c>
      <c r="I256" s="87">
        <f t="shared" si="32"/>
        <v>3.968</v>
      </c>
      <c r="J256" s="87">
        <f t="shared" si="35"/>
        <v>4.96</v>
      </c>
      <c r="K256" s="4">
        <v>62</v>
      </c>
      <c r="L256" s="71">
        <v>1.6E-2</v>
      </c>
      <c r="M256" s="4">
        <v>0.2</v>
      </c>
      <c r="N256" s="32">
        <f t="shared" si="36"/>
        <v>2.9629629629629627E-2</v>
      </c>
      <c r="O256" s="80">
        <v>24.166666666666668</v>
      </c>
      <c r="P256" s="5">
        <v>14</v>
      </c>
      <c r="Q256" s="13">
        <v>14</v>
      </c>
    </row>
    <row r="257" spans="1:17" ht="15.75" hidden="1" customHeight="1">
      <c r="A257" s="4">
        <v>7</v>
      </c>
      <c r="B257" s="13" t="s">
        <v>175</v>
      </c>
      <c r="C257" s="5" t="s">
        <v>361</v>
      </c>
      <c r="D257" s="4" t="s">
        <v>293</v>
      </c>
      <c r="E257" s="229"/>
      <c r="F257" s="89" t="s">
        <v>23</v>
      </c>
      <c r="G257" s="49"/>
      <c r="H257" s="87">
        <f t="shared" si="31"/>
        <v>15.004</v>
      </c>
      <c r="I257" s="87">
        <f t="shared" si="32"/>
        <v>40.566370370370365</v>
      </c>
      <c r="J257" s="87">
        <f t="shared" si="35"/>
        <v>55.570370370370362</v>
      </c>
      <c r="K257" s="4">
        <v>62</v>
      </c>
      <c r="L257" s="71">
        <v>0.24199999999999999</v>
      </c>
      <c r="M257" s="4">
        <v>0.27</v>
      </c>
      <c r="N257" s="32">
        <f t="shared" si="36"/>
        <v>0.25523437500000001</v>
      </c>
      <c r="O257" s="80">
        <v>27.983333333333334</v>
      </c>
      <c r="P257" s="5">
        <v>8</v>
      </c>
      <c r="Q257" s="13">
        <v>15</v>
      </c>
    </row>
    <row r="258" spans="1:17" ht="15.75" hidden="1" customHeight="1">
      <c r="A258" s="4">
        <v>7</v>
      </c>
      <c r="B258" s="13" t="s">
        <v>175</v>
      </c>
      <c r="C258" s="5" t="s">
        <v>361</v>
      </c>
      <c r="D258" s="4" t="s">
        <v>293</v>
      </c>
      <c r="E258" s="232"/>
      <c r="F258" s="65" t="s">
        <v>25</v>
      </c>
      <c r="G258" s="49"/>
      <c r="H258" s="87">
        <f t="shared" si="31"/>
        <v>2.976</v>
      </c>
      <c r="I258" s="87">
        <f t="shared" si="32"/>
        <v>19.916307692307694</v>
      </c>
      <c r="J258" s="87">
        <f t="shared" si="35"/>
        <v>22.892307692307693</v>
      </c>
      <c r="K258" s="4">
        <v>62</v>
      </c>
      <c r="L258" s="71">
        <v>4.8000000000000001E-2</v>
      </c>
      <c r="M258" s="4">
        <v>0.13</v>
      </c>
      <c r="N258" s="32">
        <f t="shared" si="36"/>
        <v>7.0112359550561804E-2</v>
      </c>
      <c r="O258" s="80">
        <v>43.083333333333336</v>
      </c>
      <c r="P258" s="5">
        <v>6</v>
      </c>
      <c r="Q258" s="13">
        <v>16</v>
      </c>
    </row>
    <row r="259" spans="1:17" ht="15.75" hidden="1" customHeight="1">
      <c r="A259" s="4">
        <v>7</v>
      </c>
      <c r="B259" s="68" t="s">
        <v>175</v>
      </c>
      <c r="C259" s="90" t="s">
        <v>362</v>
      </c>
      <c r="D259" s="4" t="s">
        <v>293</v>
      </c>
      <c r="E259" s="233" t="s">
        <v>352</v>
      </c>
      <c r="F259" s="69" t="s">
        <v>14</v>
      </c>
      <c r="G259" s="99"/>
      <c r="H259" s="100">
        <f t="shared" si="31"/>
        <v>22.005000000000003</v>
      </c>
      <c r="I259" s="100">
        <f t="shared" si="32"/>
        <v>135.17357142857145</v>
      </c>
      <c r="J259" s="100">
        <f t="shared" si="35"/>
        <v>157.17857142857144</v>
      </c>
      <c r="K259" s="101">
        <v>27</v>
      </c>
      <c r="L259" s="102">
        <v>0.81500000000000006</v>
      </c>
      <c r="M259" s="101">
        <v>0.14000000000000001</v>
      </c>
      <c r="N259" s="38">
        <f t="shared" si="36"/>
        <v>0.23895287958115186</v>
      </c>
      <c r="O259" s="4"/>
      <c r="P259" s="5"/>
    </row>
    <row r="260" spans="1:17" ht="15.75" hidden="1" customHeight="1">
      <c r="A260" s="4">
        <v>7</v>
      </c>
      <c r="B260" s="13" t="s">
        <v>175</v>
      </c>
      <c r="C260" s="90" t="s">
        <v>362</v>
      </c>
      <c r="D260" s="4" t="s">
        <v>293</v>
      </c>
      <c r="E260" s="229"/>
      <c r="F260" s="91" t="s">
        <v>150</v>
      </c>
      <c r="G260" s="49"/>
      <c r="H260" s="87">
        <f t="shared" si="31"/>
        <v>21.006</v>
      </c>
      <c r="I260" s="87">
        <f t="shared" si="32"/>
        <v>63.018000000000001</v>
      </c>
      <c r="J260" s="87">
        <f t="shared" si="35"/>
        <v>84.024000000000001</v>
      </c>
      <c r="K260" s="4">
        <v>27</v>
      </c>
      <c r="L260" s="71">
        <v>0.77800000000000002</v>
      </c>
      <c r="M260" s="4">
        <v>0.25</v>
      </c>
      <c r="N260" s="32">
        <f t="shared" si="36"/>
        <v>0.37840466926070038</v>
      </c>
      <c r="O260" s="4"/>
      <c r="P260" s="5"/>
    </row>
    <row r="261" spans="1:17" ht="15.75" hidden="1" customHeight="1">
      <c r="A261" s="4">
        <v>7</v>
      </c>
      <c r="B261" s="13" t="s">
        <v>175</v>
      </c>
      <c r="C261" s="90" t="s">
        <v>362</v>
      </c>
      <c r="D261" s="4" t="s">
        <v>293</v>
      </c>
      <c r="E261" s="229"/>
      <c r="F261" s="74" t="s">
        <v>193</v>
      </c>
      <c r="G261" s="49"/>
      <c r="H261" s="87">
        <f t="shared" si="31"/>
        <v>19.008000000000003</v>
      </c>
      <c r="I261" s="87">
        <f t="shared" si="32"/>
        <v>42.308129032258073</v>
      </c>
      <c r="J261" s="87">
        <f t="shared" si="35"/>
        <v>61.316129032258075</v>
      </c>
      <c r="K261" s="4">
        <v>27</v>
      </c>
      <c r="L261" s="71">
        <v>0.70400000000000007</v>
      </c>
      <c r="M261" s="4">
        <v>0.31</v>
      </c>
      <c r="N261" s="32">
        <f t="shared" si="36"/>
        <v>0.43045364891518739</v>
      </c>
      <c r="O261" s="4"/>
      <c r="P261" s="5"/>
    </row>
    <row r="262" spans="1:17" ht="15.75" hidden="1" customHeight="1">
      <c r="A262" s="4">
        <v>7</v>
      </c>
      <c r="B262" s="13" t="s">
        <v>175</v>
      </c>
      <c r="C262" s="90" t="s">
        <v>362</v>
      </c>
      <c r="D262" s="4" t="s">
        <v>293</v>
      </c>
      <c r="E262" s="229"/>
      <c r="F262" s="95" t="s">
        <v>197</v>
      </c>
      <c r="G262" s="49"/>
      <c r="H262" s="87">
        <f t="shared" si="31"/>
        <v>20.007000000000001</v>
      </c>
      <c r="I262" s="87">
        <f t="shared" si="32"/>
        <v>980.34300000000007</v>
      </c>
      <c r="J262" s="87">
        <f t="shared" si="35"/>
        <v>1000.35</v>
      </c>
      <c r="K262" s="4">
        <v>27</v>
      </c>
      <c r="L262" s="71">
        <v>0.74099999999999999</v>
      </c>
      <c r="M262" s="4">
        <v>0.02</v>
      </c>
      <c r="N262" s="32">
        <f t="shared" si="36"/>
        <v>3.8948751642575559E-2</v>
      </c>
      <c r="O262" s="4"/>
      <c r="P262" s="5"/>
    </row>
    <row r="263" spans="1:17" ht="15.75" hidden="1" customHeight="1">
      <c r="A263" s="4">
        <v>7</v>
      </c>
      <c r="B263" s="68" t="s">
        <v>175</v>
      </c>
      <c r="C263" s="90" t="s">
        <v>362</v>
      </c>
      <c r="D263" s="4" t="s">
        <v>293</v>
      </c>
      <c r="E263" s="229"/>
      <c r="F263" s="103" t="s">
        <v>10</v>
      </c>
      <c r="G263" s="99"/>
      <c r="H263" s="100">
        <f t="shared" si="31"/>
        <v>22.005000000000003</v>
      </c>
      <c r="I263" s="100">
        <f t="shared" si="32"/>
        <v>51.345000000000006</v>
      </c>
      <c r="J263" s="100">
        <f t="shared" si="35"/>
        <v>73.350000000000009</v>
      </c>
      <c r="K263" s="101">
        <v>27</v>
      </c>
      <c r="L263" s="102">
        <v>0.81500000000000006</v>
      </c>
      <c r="M263" s="101">
        <v>0.3</v>
      </c>
      <c r="N263" s="38">
        <f t="shared" si="36"/>
        <v>0.43856502242152468</v>
      </c>
      <c r="O263" s="4"/>
      <c r="P263" s="5"/>
    </row>
    <row r="264" spans="1:17" ht="15.75" hidden="1" customHeight="1">
      <c r="A264" s="4">
        <v>7</v>
      </c>
      <c r="B264" s="13" t="s">
        <v>175</v>
      </c>
      <c r="C264" s="90" t="s">
        <v>362</v>
      </c>
      <c r="D264" s="4" t="s">
        <v>293</v>
      </c>
      <c r="E264" s="229"/>
      <c r="F264" s="76" t="s">
        <v>30</v>
      </c>
      <c r="G264" s="49"/>
      <c r="H264" s="87">
        <f t="shared" si="31"/>
        <v>5.9939999999999998</v>
      </c>
      <c r="I264" s="87">
        <f t="shared" si="32"/>
        <v>79.634571428571419</v>
      </c>
      <c r="J264" s="87">
        <f t="shared" si="35"/>
        <v>85.628571428571419</v>
      </c>
      <c r="K264" s="4">
        <v>27</v>
      </c>
      <c r="L264" s="71">
        <v>0.222</v>
      </c>
      <c r="M264" s="4">
        <v>7.0000000000000007E-2</v>
      </c>
      <c r="N264" s="32">
        <f t="shared" si="36"/>
        <v>0.10643835616438356</v>
      </c>
      <c r="O264" s="4"/>
      <c r="P264" s="5"/>
    </row>
    <row r="265" spans="1:17" ht="15.75" hidden="1" customHeight="1">
      <c r="A265" s="4">
        <v>7</v>
      </c>
      <c r="B265" s="13" t="s">
        <v>175</v>
      </c>
      <c r="C265" s="90" t="s">
        <v>362</v>
      </c>
      <c r="D265" s="4" t="s">
        <v>293</v>
      </c>
      <c r="E265" s="229"/>
      <c r="F265" s="96" t="s">
        <v>16</v>
      </c>
      <c r="G265" s="49"/>
      <c r="H265" s="87">
        <f t="shared" si="31"/>
        <v>16.010999999999999</v>
      </c>
      <c r="I265" s="87">
        <f t="shared" si="32"/>
        <v>107.15053846153846</v>
      </c>
      <c r="J265" s="87">
        <f t="shared" si="35"/>
        <v>123.16153846153846</v>
      </c>
      <c r="K265" s="4">
        <v>27</v>
      </c>
      <c r="L265" s="71">
        <v>0.59299999999999997</v>
      </c>
      <c r="M265" s="4">
        <v>0.13</v>
      </c>
      <c r="N265" s="32">
        <f t="shared" si="36"/>
        <v>0.21325034578146615</v>
      </c>
      <c r="O265" s="4"/>
      <c r="P265" s="5"/>
    </row>
    <row r="266" spans="1:17" ht="15.75" hidden="1" customHeight="1">
      <c r="A266" s="4">
        <v>7</v>
      </c>
      <c r="B266" s="13" t="s">
        <v>175</v>
      </c>
      <c r="C266" s="90" t="s">
        <v>362</v>
      </c>
      <c r="D266" s="4" t="s">
        <v>293</v>
      </c>
      <c r="E266" s="229"/>
      <c r="F266" s="54" t="s">
        <v>13</v>
      </c>
      <c r="G266" s="99"/>
      <c r="H266" s="100">
        <f t="shared" si="31"/>
        <v>20.007000000000001</v>
      </c>
      <c r="I266" s="100">
        <f t="shared" si="32"/>
        <v>24.452999999999999</v>
      </c>
      <c r="J266" s="100">
        <f t="shared" si="35"/>
        <v>44.46</v>
      </c>
      <c r="K266" s="101">
        <v>27</v>
      </c>
      <c r="L266" s="102">
        <v>0.74099999999999999</v>
      </c>
      <c r="M266" s="101">
        <v>0.45</v>
      </c>
      <c r="N266" s="38">
        <f t="shared" si="36"/>
        <v>0.55994962216624689</v>
      </c>
      <c r="O266" s="4"/>
      <c r="P266" s="5"/>
    </row>
    <row r="267" spans="1:17" ht="15.75" hidden="1" customHeight="1">
      <c r="A267" s="4">
        <v>7</v>
      </c>
      <c r="B267" s="13" t="s">
        <v>175</v>
      </c>
      <c r="C267" s="90" t="s">
        <v>362</v>
      </c>
      <c r="D267" s="4" t="s">
        <v>293</v>
      </c>
      <c r="E267" s="229"/>
      <c r="F267" s="65" t="s">
        <v>25</v>
      </c>
      <c r="G267" s="49"/>
      <c r="H267" s="87">
        <f t="shared" si="31"/>
        <v>17.010000000000002</v>
      </c>
      <c r="I267" s="87">
        <f t="shared" si="32"/>
        <v>21.649090909090912</v>
      </c>
      <c r="J267" s="87">
        <f t="shared" si="35"/>
        <v>38.659090909090914</v>
      </c>
      <c r="K267" s="4">
        <v>27</v>
      </c>
      <c r="L267" s="71">
        <v>0.63</v>
      </c>
      <c r="M267" s="4">
        <v>0.44</v>
      </c>
      <c r="N267" s="32">
        <f t="shared" si="36"/>
        <v>0.51813084112149532</v>
      </c>
      <c r="O267" s="4"/>
      <c r="P267" s="5"/>
    </row>
    <row r="268" spans="1:17" ht="15.75" hidden="1" customHeight="1">
      <c r="A268" s="4">
        <v>7</v>
      </c>
      <c r="B268" s="13" t="s">
        <v>175</v>
      </c>
      <c r="C268" s="90" t="s">
        <v>362</v>
      </c>
      <c r="D268" s="4" t="s">
        <v>293</v>
      </c>
      <c r="E268" s="229"/>
      <c r="F268" s="81" t="s">
        <v>21</v>
      </c>
      <c r="G268" s="49"/>
      <c r="H268" s="87">
        <f t="shared" si="31"/>
        <v>23.004000000000001</v>
      </c>
      <c r="I268" s="87">
        <f t="shared" si="32"/>
        <v>2277.3960000000002</v>
      </c>
      <c r="J268" s="87">
        <f t="shared" si="35"/>
        <v>2300.4</v>
      </c>
      <c r="K268" s="4">
        <v>27</v>
      </c>
      <c r="L268" s="71">
        <v>0.85200000000000009</v>
      </c>
      <c r="M268" s="4">
        <v>0.01</v>
      </c>
      <c r="N268" s="32">
        <f t="shared" si="36"/>
        <v>1.9767981438515082E-2</v>
      </c>
      <c r="O268" s="4"/>
      <c r="P268" s="5"/>
    </row>
    <row r="269" spans="1:17" ht="15.75" hidden="1" customHeight="1">
      <c r="A269" s="4">
        <v>7</v>
      </c>
      <c r="B269" s="13" t="s">
        <v>175</v>
      </c>
      <c r="C269" s="90" t="s">
        <v>362</v>
      </c>
      <c r="D269" s="4" t="s">
        <v>293</v>
      </c>
      <c r="E269" s="229"/>
      <c r="F269" s="85" t="s">
        <v>92</v>
      </c>
      <c r="G269" s="49"/>
      <c r="H269" s="87">
        <f t="shared" si="31"/>
        <v>17.010000000000002</v>
      </c>
      <c r="I269" s="87">
        <f t="shared" si="32"/>
        <v>68.039999999999992</v>
      </c>
      <c r="J269" s="87">
        <f t="shared" si="35"/>
        <v>85.05</v>
      </c>
      <c r="K269" s="4">
        <v>27</v>
      </c>
      <c r="L269" s="71">
        <v>0.63</v>
      </c>
      <c r="M269" s="4">
        <v>0.2</v>
      </c>
      <c r="N269" s="32">
        <f t="shared" si="36"/>
        <v>0.30361445783132529</v>
      </c>
      <c r="O269" s="4"/>
      <c r="P269" s="5"/>
    </row>
    <row r="270" spans="1:17" ht="15.75" hidden="1" customHeight="1">
      <c r="A270" s="4">
        <v>7</v>
      </c>
      <c r="B270" s="13" t="s">
        <v>175</v>
      </c>
      <c r="C270" s="90" t="s">
        <v>362</v>
      </c>
      <c r="D270" s="4" t="s">
        <v>293</v>
      </c>
      <c r="E270" s="229"/>
      <c r="F270" s="89" t="s">
        <v>23</v>
      </c>
      <c r="G270" s="49"/>
      <c r="H270" s="87">
        <f t="shared" si="31"/>
        <v>18.009</v>
      </c>
      <c r="I270" s="87">
        <f t="shared" si="32"/>
        <v>42.021000000000001</v>
      </c>
      <c r="J270" s="87">
        <f t="shared" si="35"/>
        <v>60.03</v>
      </c>
      <c r="K270" s="4">
        <v>27</v>
      </c>
      <c r="L270" s="71">
        <v>0.66700000000000004</v>
      </c>
      <c r="M270" s="4">
        <v>0.3</v>
      </c>
      <c r="N270" s="32">
        <f t="shared" si="36"/>
        <v>0.41385729058945186</v>
      </c>
      <c r="O270" s="4"/>
      <c r="P270" s="5"/>
    </row>
    <row r="271" spans="1:17" ht="15.75" hidden="1" customHeight="1">
      <c r="A271" s="4">
        <v>7</v>
      </c>
      <c r="B271" s="13" t="s">
        <v>175</v>
      </c>
      <c r="C271" s="90" t="s">
        <v>362</v>
      </c>
      <c r="D271" s="4" t="s">
        <v>293</v>
      </c>
      <c r="E271" s="229"/>
      <c r="F271" s="3" t="s">
        <v>164</v>
      </c>
      <c r="G271" s="49"/>
      <c r="H271" s="87">
        <f t="shared" si="31"/>
        <v>20.007000000000001</v>
      </c>
      <c r="I271" s="87">
        <f t="shared" si="32"/>
        <v>97.681235294117641</v>
      </c>
      <c r="J271" s="87">
        <f t="shared" si="35"/>
        <v>117.68823529411765</v>
      </c>
      <c r="K271" s="4">
        <v>27</v>
      </c>
      <c r="L271" s="71">
        <v>0.74099999999999999</v>
      </c>
      <c r="M271" s="4">
        <v>0.17</v>
      </c>
      <c r="N271" s="32">
        <f t="shared" si="36"/>
        <v>0.27655323819978045</v>
      </c>
      <c r="O271" s="4"/>
      <c r="P271" s="5"/>
    </row>
    <row r="272" spans="1:17" ht="15.75" customHeight="1">
      <c r="A272" s="4">
        <v>7</v>
      </c>
      <c r="B272" s="13" t="s">
        <v>175</v>
      </c>
      <c r="C272" s="90" t="s">
        <v>362</v>
      </c>
      <c r="D272" s="4" t="s">
        <v>293</v>
      </c>
      <c r="E272" s="229"/>
      <c r="F272" s="86" t="s">
        <v>99</v>
      </c>
      <c r="G272" s="49"/>
      <c r="H272" s="87">
        <f t="shared" si="31"/>
        <v>11.988</v>
      </c>
      <c r="I272" s="87">
        <f t="shared" si="32"/>
        <v>27.972000000000001</v>
      </c>
      <c r="J272" s="87">
        <f t="shared" si="35"/>
        <v>39.96</v>
      </c>
      <c r="K272" s="4">
        <v>27</v>
      </c>
      <c r="L272" s="71">
        <v>0.44400000000000001</v>
      </c>
      <c r="M272" s="4">
        <v>0.3</v>
      </c>
      <c r="N272" s="32">
        <f t="shared" si="36"/>
        <v>0.35806451612903223</v>
      </c>
      <c r="O272" s="4"/>
      <c r="P272" s="5"/>
    </row>
    <row r="273" spans="1:16" ht="15.75" hidden="1" customHeight="1">
      <c r="A273" s="4">
        <v>7</v>
      </c>
      <c r="B273" s="13" t="s">
        <v>175</v>
      </c>
      <c r="C273" s="90" t="s">
        <v>362</v>
      </c>
      <c r="D273" s="4" t="s">
        <v>293</v>
      </c>
      <c r="E273" s="229"/>
      <c r="F273" s="4" t="s">
        <v>224</v>
      </c>
      <c r="G273" s="49"/>
      <c r="H273" s="87">
        <f t="shared" si="31"/>
        <v>16.010999999999999</v>
      </c>
      <c r="I273" s="87">
        <f t="shared" si="32"/>
        <v>34.023375000000001</v>
      </c>
      <c r="J273" s="87">
        <f t="shared" si="35"/>
        <v>50.034374999999997</v>
      </c>
      <c r="K273" s="4">
        <v>27</v>
      </c>
      <c r="L273" s="71">
        <v>0.59299999999999997</v>
      </c>
      <c r="M273" s="4">
        <v>0.32</v>
      </c>
      <c r="N273" s="32">
        <f t="shared" si="36"/>
        <v>0.41568455640744795</v>
      </c>
      <c r="O273" s="4"/>
      <c r="P273" s="5"/>
    </row>
    <row r="274" spans="1:16" ht="15.75" hidden="1" customHeight="1">
      <c r="A274" s="4">
        <v>7</v>
      </c>
      <c r="B274" s="13" t="s">
        <v>175</v>
      </c>
      <c r="C274" s="90" t="s">
        <v>362</v>
      </c>
      <c r="D274" s="4" t="s">
        <v>293</v>
      </c>
      <c r="E274" s="232"/>
      <c r="F274" s="4" t="s">
        <v>226</v>
      </c>
      <c r="G274" s="49"/>
      <c r="H274" s="87">
        <f t="shared" si="31"/>
        <v>9.99</v>
      </c>
      <c r="I274" s="87">
        <f t="shared" si="32"/>
        <v>132.72428571428568</v>
      </c>
      <c r="J274" s="87">
        <f t="shared" si="35"/>
        <v>142.71428571428569</v>
      </c>
      <c r="K274" s="4">
        <v>27</v>
      </c>
      <c r="L274" s="71">
        <v>0.37</v>
      </c>
      <c r="M274" s="4">
        <v>7.0000000000000007E-2</v>
      </c>
      <c r="N274" s="32">
        <f t="shared" si="36"/>
        <v>0.11772727272727274</v>
      </c>
      <c r="O274" s="4"/>
      <c r="P274" s="5"/>
    </row>
    <row r="275" spans="1:16" ht="15.75" hidden="1" customHeight="1">
      <c r="A275" s="4">
        <v>7</v>
      </c>
      <c r="B275" s="13" t="s">
        <v>175</v>
      </c>
      <c r="C275" s="94" t="s">
        <v>363</v>
      </c>
      <c r="D275" s="4" t="s">
        <v>293</v>
      </c>
      <c r="E275" s="233" t="s">
        <v>352</v>
      </c>
      <c r="F275" s="69" t="s">
        <v>14</v>
      </c>
      <c r="G275" s="99"/>
      <c r="H275" s="100">
        <f t="shared" si="31"/>
        <v>45.045000000000002</v>
      </c>
      <c r="I275" s="100">
        <f t="shared" si="32"/>
        <v>110.28258620689657</v>
      </c>
      <c r="J275" s="100">
        <f t="shared" si="35"/>
        <v>155.32758620689657</v>
      </c>
      <c r="K275" s="101">
        <v>99</v>
      </c>
      <c r="L275" s="102">
        <v>0.45500000000000002</v>
      </c>
      <c r="M275" s="101">
        <v>0.28999999999999998</v>
      </c>
      <c r="N275" s="38">
        <f t="shared" si="36"/>
        <v>0.35422818791946303</v>
      </c>
      <c r="O275" s="4"/>
      <c r="P275" s="5"/>
    </row>
    <row r="276" spans="1:16" ht="15.75" hidden="1" customHeight="1">
      <c r="A276" s="4">
        <v>7</v>
      </c>
      <c r="B276" s="13" t="s">
        <v>175</v>
      </c>
      <c r="C276" s="94" t="s">
        <v>363</v>
      </c>
      <c r="D276" s="4" t="s">
        <v>293</v>
      </c>
      <c r="E276" s="229"/>
      <c r="F276" s="91" t="s">
        <v>150</v>
      </c>
      <c r="G276" s="49"/>
      <c r="H276" s="87">
        <f t="shared" si="31"/>
        <v>35.045999999999999</v>
      </c>
      <c r="I276" s="87">
        <f t="shared" si="32"/>
        <v>50.432048780487811</v>
      </c>
      <c r="J276" s="87">
        <f t="shared" si="35"/>
        <v>85.478048780487811</v>
      </c>
      <c r="K276" s="4">
        <v>99</v>
      </c>
      <c r="L276" s="71">
        <v>0.35399999999999998</v>
      </c>
      <c r="M276" s="4">
        <v>0.41</v>
      </c>
      <c r="N276" s="32">
        <f t="shared" si="36"/>
        <v>0.37994764397905756</v>
      </c>
      <c r="O276" s="4"/>
      <c r="P276" s="5"/>
    </row>
    <row r="277" spans="1:16" ht="15.75" hidden="1" customHeight="1">
      <c r="A277" s="4">
        <v>7</v>
      </c>
      <c r="B277" s="13" t="s">
        <v>175</v>
      </c>
      <c r="C277" s="94" t="s">
        <v>363</v>
      </c>
      <c r="D277" s="4" t="s">
        <v>293</v>
      </c>
      <c r="E277" s="229"/>
      <c r="F277" s="74" t="s">
        <v>193</v>
      </c>
      <c r="G277" s="49"/>
      <c r="H277" s="87">
        <f t="shared" si="31"/>
        <v>25.047000000000001</v>
      </c>
      <c r="I277" s="87">
        <f t="shared" si="32"/>
        <v>37.570499999999996</v>
      </c>
      <c r="J277" s="87">
        <f t="shared" si="35"/>
        <v>62.6175</v>
      </c>
      <c r="K277" s="4">
        <v>99</v>
      </c>
      <c r="L277" s="71">
        <v>0.253</v>
      </c>
      <c r="M277" s="4">
        <v>0.4</v>
      </c>
      <c r="N277" s="32">
        <f t="shared" si="36"/>
        <v>0.30995405819295563</v>
      </c>
      <c r="O277" s="4"/>
      <c r="P277" s="5"/>
    </row>
    <row r="278" spans="1:16" ht="15.75" hidden="1" customHeight="1">
      <c r="A278" s="4">
        <v>7</v>
      </c>
      <c r="B278" s="13" t="s">
        <v>175</v>
      </c>
      <c r="C278" s="94" t="s">
        <v>363</v>
      </c>
      <c r="D278" s="4" t="s">
        <v>293</v>
      </c>
      <c r="E278" s="229"/>
      <c r="F278" s="95" t="s">
        <v>197</v>
      </c>
      <c r="G278" s="49"/>
      <c r="H278" s="87">
        <f t="shared" si="31"/>
        <v>40.985999999999997</v>
      </c>
      <c r="I278" s="87">
        <f t="shared" si="32"/>
        <v>983.66399999999987</v>
      </c>
      <c r="J278" s="87">
        <f t="shared" si="35"/>
        <v>1024.6499999999999</v>
      </c>
      <c r="K278" s="4">
        <v>99</v>
      </c>
      <c r="L278" s="71">
        <v>0.41399999999999998</v>
      </c>
      <c r="M278" s="4">
        <v>0.04</v>
      </c>
      <c r="N278" s="32">
        <f t="shared" si="36"/>
        <v>7.2951541850220264E-2</v>
      </c>
      <c r="O278" s="4"/>
      <c r="P278" s="5"/>
    </row>
    <row r="279" spans="1:16" ht="15.75" hidden="1" customHeight="1">
      <c r="A279" s="4">
        <v>7</v>
      </c>
      <c r="B279" s="13" t="s">
        <v>175</v>
      </c>
      <c r="C279" s="94" t="s">
        <v>363</v>
      </c>
      <c r="D279" s="4" t="s">
        <v>293</v>
      </c>
      <c r="E279" s="229"/>
      <c r="F279" s="103" t="s">
        <v>10</v>
      </c>
      <c r="G279" s="99"/>
      <c r="H279" s="100">
        <f t="shared" si="31"/>
        <v>40.985999999999997</v>
      </c>
      <c r="I279" s="100">
        <f t="shared" si="32"/>
        <v>33.533999999999985</v>
      </c>
      <c r="J279" s="100">
        <f t="shared" si="35"/>
        <v>74.519999999999982</v>
      </c>
      <c r="K279" s="101">
        <v>99</v>
      </c>
      <c r="L279" s="102">
        <v>0.41399999999999998</v>
      </c>
      <c r="M279" s="101">
        <v>0.55000000000000004</v>
      </c>
      <c r="N279" s="38">
        <f t="shared" si="36"/>
        <v>0.47240663900414942</v>
      </c>
      <c r="O279" s="4"/>
      <c r="P279" s="5"/>
    </row>
    <row r="280" spans="1:16" ht="15.75" hidden="1" customHeight="1">
      <c r="A280" s="4">
        <v>7</v>
      </c>
      <c r="B280" s="13" t="s">
        <v>175</v>
      </c>
      <c r="C280" s="94" t="s">
        <v>363</v>
      </c>
      <c r="D280" s="4" t="s">
        <v>293</v>
      </c>
      <c r="E280" s="229"/>
      <c r="F280" s="76" t="s">
        <v>30</v>
      </c>
      <c r="G280" s="49"/>
      <c r="H280" s="87">
        <f t="shared" si="31"/>
        <v>8.0190000000000001</v>
      </c>
      <c r="I280" s="87">
        <f t="shared" si="32"/>
        <v>81.081000000000003</v>
      </c>
      <c r="J280" s="87">
        <f t="shared" si="35"/>
        <v>89.100000000000009</v>
      </c>
      <c r="K280" s="4">
        <v>99</v>
      </c>
      <c r="L280" s="71">
        <v>8.1000000000000003E-2</v>
      </c>
      <c r="M280" s="4">
        <v>0.09</v>
      </c>
      <c r="N280" s="32">
        <f t="shared" si="36"/>
        <v>8.5263157894736846E-2</v>
      </c>
      <c r="O280" s="4"/>
      <c r="P280" s="5"/>
    </row>
    <row r="281" spans="1:16" ht="15.75" hidden="1" customHeight="1">
      <c r="A281" s="4">
        <v>7</v>
      </c>
      <c r="B281" s="13" t="s">
        <v>175</v>
      </c>
      <c r="C281" s="94" t="s">
        <v>363</v>
      </c>
      <c r="D281" s="4" t="s">
        <v>293</v>
      </c>
      <c r="E281" s="229"/>
      <c r="F281" s="96" t="s">
        <v>16</v>
      </c>
      <c r="G281" s="49"/>
      <c r="H281" s="87">
        <f t="shared" si="31"/>
        <v>22.968</v>
      </c>
      <c r="I281" s="87">
        <f t="shared" si="32"/>
        <v>97.91621052631578</v>
      </c>
      <c r="J281" s="87">
        <f t="shared" si="35"/>
        <v>120.88421052631578</v>
      </c>
      <c r="K281" s="4">
        <v>99</v>
      </c>
      <c r="L281" s="71">
        <v>0.23199999999999998</v>
      </c>
      <c r="M281" s="4">
        <v>0.19</v>
      </c>
      <c r="N281" s="32">
        <f t="shared" si="36"/>
        <v>0.20890995260663506</v>
      </c>
      <c r="O281" s="4"/>
      <c r="P281" s="5"/>
    </row>
    <row r="282" spans="1:16" ht="15.75" hidden="1" customHeight="1">
      <c r="A282" s="4">
        <v>7</v>
      </c>
      <c r="B282" s="13" t="s">
        <v>175</v>
      </c>
      <c r="C282" s="94" t="s">
        <v>363</v>
      </c>
      <c r="D282" s="4" t="s">
        <v>293</v>
      </c>
      <c r="E282" s="229"/>
      <c r="F282" s="54" t="s">
        <v>13</v>
      </c>
      <c r="G282" s="99"/>
      <c r="H282" s="100">
        <f t="shared" si="31"/>
        <v>27.027000000000001</v>
      </c>
      <c r="I282" s="100">
        <f t="shared" si="32"/>
        <v>17.27955737704918</v>
      </c>
      <c r="J282" s="100">
        <f t="shared" si="35"/>
        <v>44.306557377049181</v>
      </c>
      <c r="K282" s="101">
        <v>99</v>
      </c>
      <c r="L282" s="102">
        <v>0.27300000000000002</v>
      </c>
      <c r="M282" s="101">
        <v>0.61</v>
      </c>
      <c r="N282" s="38">
        <f t="shared" si="36"/>
        <v>0.37719139297848248</v>
      </c>
      <c r="O282" s="4"/>
      <c r="P282" s="5"/>
    </row>
    <row r="283" spans="1:16" ht="15.75" hidden="1" customHeight="1">
      <c r="A283" s="4">
        <v>7</v>
      </c>
      <c r="B283" s="13" t="s">
        <v>175</v>
      </c>
      <c r="C283" s="94" t="s">
        <v>363</v>
      </c>
      <c r="D283" s="4" t="s">
        <v>293</v>
      </c>
      <c r="E283" s="229"/>
      <c r="F283" s="65" t="s">
        <v>25</v>
      </c>
      <c r="G283" s="49"/>
      <c r="H283" s="87">
        <f t="shared" si="31"/>
        <v>20.988</v>
      </c>
      <c r="I283" s="87">
        <f t="shared" si="32"/>
        <v>17.87866666666666</v>
      </c>
      <c r="J283" s="87">
        <f t="shared" si="35"/>
        <v>38.86666666666666</v>
      </c>
      <c r="K283" s="4">
        <v>99</v>
      </c>
      <c r="L283" s="71">
        <v>0.21199999999999999</v>
      </c>
      <c r="M283" s="4">
        <v>0.54</v>
      </c>
      <c r="N283" s="32">
        <f t="shared" si="36"/>
        <v>0.30446808510638296</v>
      </c>
      <c r="O283" s="4"/>
      <c r="P283" s="5"/>
    </row>
    <row r="284" spans="1:16" ht="15.75" hidden="1" customHeight="1">
      <c r="A284" s="4">
        <v>7</v>
      </c>
      <c r="B284" s="13" t="s">
        <v>175</v>
      </c>
      <c r="C284" s="94" t="s">
        <v>363</v>
      </c>
      <c r="D284" s="4" t="s">
        <v>293</v>
      </c>
      <c r="E284" s="229"/>
      <c r="F284" s="81" t="s">
        <v>21</v>
      </c>
      <c r="G284" s="49"/>
      <c r="H284" s="87">
        <f t="shared" si="31"/>
        <v>40.985999999999997</v>
      </c>
      <c r="I284" s="87">
        <f t="shared" si="32"/>
        <v>1325.2139999999999</v>
      </c>
      <c r="J284" s="87">
        <f t="shared" si="35"/>
        <v>1366.2</v>
      </c>
      <c r="K284" s="4">
        <v>99</v>
      </c>
      <c r="L284" s="71">
        <v>0.41399999999999998</v>
      </c>
      <c r="M284" s="4">
        <v>0.03</v>
      </c>
      <c r="N284" s="32">
        <f t="shared" si="36"/>
        <v>5.5945945945945944E-2</v>
      </c>
      <c r="O284" s="4"/>
      <c r="P284" s="5"/>
    </row>
    <row r="285" spans="1:16" ht="15.75" hidden="1" customHeight="1">
      <c r="A285" s="4">
        <v>7</v>
      </c>
      <c r="B285" s="13" t="s">
        <v>175</v>
      </c>
      <c r="C285" s="94" t="s">
        <v>363</v>
      </c>
      <c r="D285" s="4" t="s">
        <v>293</v>
      </c>
      <c r="E285" s="229"/>
      <c r="F285" s="85" t="s">
        <v>92</v>
      </c>
      <c r="G285" s="49"/>
      <c r="H285" s="87">
        <f t="shared" si="31"/>
        <v>21.978000000000002</v>
      </c>
      <c r="I285" s="87">
        <f t="shared" si="32"/>
        <v>62.552769230769236</v>
      </c>
      <c r="J285" s="87">
        <f t="shared" si="35"/>
        <v>84.530769230769238</v>
      </c>
      <c r="K285" s="4">
        <v>99</v>
      </c>
      <c r="L285" s="71">
        <v>0.222</v>
      </c>
      <c r="M285" s="4">
        <v>0.26</v>
      </c>
      <c r="N285" s="32">
        <f t="shared" si="36"/>
        <v>0.2395020746887967</v>
      </c>
      <c r="O285" s="4"/>
      <c r="P285" s="5"/>
    </row>
    <row r="286" spans="1:16" ht="15.75" hidden="1" customHeight="1">
      <c r="A286" s="4">
        <v>7</v>
      </c>
      <c r="B286" s="13" t="s">
        <v>175</v>
      </c>
      <c r="C286" s="94" t="s">
        <v>363</v>
      </c>
      <c r="D286" s="4" t="s">
        <v>293</v>
      </c>
      <c r="E286" s="229"/>
      <c r="F286" s="89" t="s">
        <v>23</v>
      </c>
      <c r="G286" s="49"/>
      <c r="H286" s="87">
        <f t="shared" si="31"/>
        <v>28.017000000000003</v>
      </c>
      <c r="I286" s="87">
        <f t="shared" si="32"/>
        <v>31.593638297872346</v>
      </c>
      <c r="J286" s="87">
        <f t="shared" si="35"/>
        <v>59.610638297872349</v>
      </c>
      <c r="K286" s="4">
        <v>99</v>
      </c>
      <c r="L286" s="71">
        <v>0.28300000000000003</v>
      </c>
      <c r="M286" s="4">
        <v>0.47</v>
      </c>
      <c r="N286" s="32">
        <f t="shared" si="36"/>
        <v>0.3532802124833998</v>
      </c>
      <c r="O286" s="4"/>
      <c r="P286" s="5"/>
    </row>
    <row r="287" spans="1:16" ht="15.75" hidden="1" customHeight="1">
      <c r="A287" s="4">
        <v>7</v>
      </c>
      <c r="B287" s="13" t="s">
        <v>175</v>
      </c>
      <c r="C287" s="94" t="s">
        <v>363</v>
      </c>
      <c r="D287" s="4" t="s">
        <v>293</v>
      </c>
      <c r="E287" s="229"/>
      <c r="F287" s="3" t="s">
        <v>164</v>
      </c>
      <c r="G287" s="49"/>
      <c r="H287" s="87">
        <f t="shared" si="31"/>
        <v>36.036000000000001</v>
      </c>
      <c r="I287" s="87">
        <f t="shared" si="32"/>
        <v>84.084000000000003</v>
      </c>
      <c r="J287" s="87">
        <f t="shared" si="35"/>
        <v>120.12</v>
      </c>
      <c r="K287" s="4">
        <v>99</v>
      </c>
      <c r="L287" s="71">
        <v>0.36399999999999999</v>
      </c>
      <c r="M287" s="4">
        <v>0.3</v>
      </c>
      <c r="N287" s="32">
        <f t="shared" si="36"/>
        <v>0.3289156626506024</v>
      </c>
      <c r="O287" s="4"/>
      <c r="P287" s="5"/>
    </row>
    <row r="288" spans="1:16" ht="15.75" customHeight="1">
      <c r="A288" s="4">
        <v>7</v>
      </c>
      <c r="B288" s="13" t="s">
        <v>175</v>
      </c>
      <c r="C288" s="94" t="s">
        <v>363</v>
      </c>
      <c r="D288" s="4" t="s">
        <v>293</v>
      </c>
      <c r="E288" s="229"/>
      <c r="F288" s="86" t="s">
        <v>99</v>
      </c>
      <c r="G288" s="49"/>
      <c r="H288" s="87">
        <f t="shared" si="31"/>
        <v>15.048</v>
      </c>
      <c r="I288" s="87">
        <f t="shared" si="32"/>
        <v>24.552</v>
      </c>
      <c r="J288" s="87">
        <f t="shared" si="35"/>
        <v>39.6</v>
      </c>
      <c r="K288" s="4">
        <v>99</v>
      </c>
      <c r="L288" s="71">
        <v>0.152</v>
      </c>
      <c r="M288" s="4">
        <v>0.38</v>
      </c>
      <c r="N288" s="32">
        <f t="shared" si="36"/>
        <v>0.21714285714285714</v>
      </c>
      <c r="O288" s="4"/>
      <c r="P288" s="5"/>
    </row>
    <row r="289" spans="1:17" ht="15.75" hidden="1" customHeight="1">
      <c r="A289" s="4">
        <v>7</v>
      </c>
      <c r="B289" s="13" t="s">
        <v>175</v>
      </c>
      <c r="C289" s="94" t="s">
        <v>363</v>
      </c>
      <c r="D289" s="4" t="s">
        <v>293</v>
      </c>
      <c r="E289" s="229"/>
      <c r="F289" s="4" t="s">
        <v>224</v>
      </c>
      <c r="G289" s="49"/>
      <c r="H289" s="87">
        <f t="shared" si="31"/>
        <v>26.037000000000003</v>
      </c>
      <c r="I289" s="87">
        <f t="shared" si="32"/>
        <v>24.034153846153846</v>
      </c>
      <c r="J289" s="87">
        <f t="shared" si="35"/>
        <v>50.071153846153848</v>
      </c>
      <c r="K289" s="4">
        <v>99</v>
      </c>
      <c r="L289" s="71">
        <v>0.26300000000000001</v>
      </c>
      <c r="M289" s="4">
        <v>0.52</v>
      </c>
      <c r="N289" s="32">
        <f t="shared" si="36"/>
        <v>0.349323116219668</v>
      </c>
      <c r="O289" s="4"/>
      <c r="P289" s="5"/>
    </row>
    <row r="290" spans="1:17" ht="15.75" hidden="1" customHeight="1">
      <c r="A290" s="4">
        <v>7</v>
      </c>
      <c r="B290" s="13" t="s">
        <v>175</v>
      </c>
      <c r="C290" s="94" t="s">
        <v>363</v>
      </c>
      <c r="D290" s="4" t="s">
        <v>293</v>
      </c>
      <c r="E290" s="232"/>
      <c r="F290" s="4" t="s">
        <v>226</v>
      </c>
      <c r="G290" s="49"/>
      <c r="H290" s="87">
        <f t="shared" si="31"/>
        <v>17.027999999999999</v>
      </c>
      <c r="I290" s="87">
        <f t="shared" si="32"/>
        <v>124.87200000000001</v>
      </c>
      <c r="J290" s="87">
        <f t="shared" si="35"/>
        <v>141.9</v>
      </c>
      <c r="K290" s="4">
        <v>99</v>
      </c>
      <c r="L290" s="71">
        <v>0.17199999999999999</v>
      </c>
      <c r="M290" s="4">
        <v>0.12</v>
      </c>
      <c r="N290" s="32">
        <f t="shared" si="36"/>
        <v>0.14136986301369864</v>
      </c>
      <c r="O290" s="4"/>
      <c r="P290" s="5"/>
    </row>
    <row r="291" spans="1:17" ht="15.75" hidden="1" customHeight="1">
      <c r="A291" s="4">
        <v>8</v>
      </c>
      <c r="B291" s="68" t="s">
        <v>234</v>
      </c>
      <c r="C291" s="5" t="s">
        <v>364</v>
      </c>
      <c r="D291" s="4" t="s">
        <v>279</v>
      </c>
      <c r="E291" s="4"/>
      <c r="F291" s="105" t="s">
        <v>365</v>
      </c>
      <c r="G291" s="49"/>
      <c r="H291" s="29">
        <v>1989</v>
      </c>
      <c r="I291" s="29">
        <v>90</v>
      </c>
      <c r="J291" s="5">
        <f t="shared" ref="J291:J299" si="37">H291+I291</f>
        <v>2079</v>
      </c>
      <c r="K291" s="5">
        <v>2500</v>
      </c>
      <c r="L291" s="4">
        <v>0.79599999999999993</v>
      </c>
      <c r="M291" s="4">
        <v>0.95700000000000007</v>
      </c>
      <c r="N291" s="4">
        <v>0.86900000000000011</v>
      </c>
      <c r="O291" s="4"/>
      <c r="P291" s="4"/>
      <c r="Q291" s="4"/>
    </row>
    <row r="292" spans="1:17" ht="15.75" hidden="1" customHeight="1">
      <c r="A292" s="4">
        <v>8</v>
      </c>
      <c r="B292" s="13" t="s">
        <v>234</v>
      </c>
      <c r="C292" s="5" t="s">
        <v>364</v>
      </c>
      <c r="D292" s="4" t="s">
        <v>279</v>
      </c>
      <c r="E292" s="4"/>
      <c r="F292" s="105" t="s">
        <v>243</v>
      </c>
      <c r="G292" s="49"/>
      <c r="H292" s="29">
        <v>2091</v>
      </c>
      <c r="I292" s="29">
        <v>164</v>
      </c>
      <c r="J292" s="5">
        <f t="shared" si="37"/>
        <v>2255</v>
      </c>
      <c r="K292" s="5">
        <v>2500</v>
      </c>
      <c r="L292" s="4">
        <v>0.83599999999999997</v>
      </c>
      <c r="M292" s="4">
        <v>0.92700000000000005</v>
      </c>
      <c r="N292" s="4">
        <v>0.879</v>
      </c>
      <c r="O292" s="4"/>
      <c r="P292" s="4"/>
      <c r="Q292" s="4"/>
    </row>
    <row r="293" spans="1:17" ht="15.75" hidden="1" customHeight="1">
      <c r="A293" s="4">
        <v>8</v>
      </c>
      <c r="B293" s="13" t="s">
        <v>234</v>
      </c>
      <c r="C293" s="5" t="s">
        <v>364</v>
      </c>
      <c r="D293" s="4" t="s">
        <v>279</v>
      </c>
      <c r="E293" s="4"/>
      <c r="F293" s="69" t="s">
        <v>14</v>
      </c>
      <c r="G293" s="49"/>
      <c r="H293" s="29">
        <v>2104</v>
      </c>
      <c r="I293" s="29">
        <v>273</v>
      </c>
      <c r="J293" s="5">
        <f t="shared" si="37"/>
        <v>2377</v>
      </c>
      <c r="K293" s="5">
        <v>2500</v>
      </c>
      <c r="L293" s="4">
        <v>0.84200000000000008</v>
      </c>
      <c r="M293" s="4">
        <v>0.88500000000000001</v>
      </c>
      <c r="N293" s="4">
        <v>0.86299999999999999</v>
      </c>
      <c r="O293" s="4"/>
      <c r="P293" s="4"/>
      <c r="Q293" s="4"/>
    </row>
    <row r="294" spans="1:17" ht="15.75" hidden="1" customHeight="1">
      <c r="A294" s="4">
        <v>8</v>
      </c>
      <c r="B294" s="13" t="s">
        <v>234</v>
      </c>
      <c r="C294" s="5" t="s">
        <v>364</v>
      </c>
      <c r="D294" s="4" t="s">
        <v>279</v>
      </c>
      <c r="E294" s="4"/>
      <c r="F294" s="44" t="s">
        <v>10</v>
      </c>
      <c r="G294" s="49"/>
      <c r="H294" s="29">
        <v>1929</v>
      </c>
      <c r="I294" s="29">
        <v>117</v>
      </c>
      <c r="J294" s="5">
        <f t="shared" si="37"/>
        <v>2046</v>
      </c>
      <c r="K294" s="5">
        <v>2500</v>
      </c>
      <c r="L294" s="4">
        <v>0.77200000000000002</v>
      </c>
      <c r="M294" s="4">
        <v>0.94299999999999995</v>
      </c>
      <c r="N294" s="4">
        <v>0.84900000000000009</v>
      </c>
      <c r="O294" s="4"/>
      <c r="P294" s="4"/>
      <c r="Q294" s="4"/>
    </row>
    <row r="295" spans="1:17" ht="15.75" hidden="1" customHeight="1">
      <c r="A295" s="4">
        <v>8</v>
      </c>
      <c r="B295" s="13" t="s">
        <v>234</v>
      </c>
      <c r="C295" s="5" t="s">
        <v>364</v>
      </c>
      <c r="D295" s="4" t="s">
        <v>279</v>
      </c>
      <c r="E295" s="4"/>
      <c r="F295" s="5" t="s">
        <v>19</v>
      </c>
      <c r="G295" s="49"/>
      <c r="H295" s="29">
        <v>1953</v>
      </c>
      <c r="I295" s="29">
        <v>306</v>
      </c>
      <c r="J295" s="5">
        <f t="shared" si="37"/>
        <v>2259</v>
      </c>
      <c r="K295" s="5">
        <v>2500</v>
      </c>
      <c r="L295" s="4">
        <v>0.78099999999999992</v>
      </c>
      <c r="M295" s="4">
        <v>0.86499999999999999</v>
      </c>
      <c r="N295" s="4">
        <v>0.82099999999999995</v>
      </c>
      <c r="O295" s="4"/>
      <c r="P295" s="4"/>
      <c r="Q295" s="4"/>
    </row>
    <row r="296" spans="1:17" ht="15.75" hidden="1" customHeight="1">
      <c r="A296" s="4">
        <v>8</v>
      </c>
      <c r="B296" s="13" t="s">
        <v>234</v>
      </c>
      <c r="C296" s="5" t="s">
        <v>364</v>
      </c>
      <c r="D296" s="4" t="s">
        <v>279</v>
      </c>
      <c r="E296" s="4"/>
      <c r="F296" s="60" t="s">
        <v>22</v>
      </c>
      <c r="G296" s="49"/>
      <c r="H296" s="29">
        <v>1910</v>
      </c>
      <c r="I296" s="29">
        <v>179</v>
      </c>
      <c r="J296" s="5">
        <f t="shared" si="37"/>
        <v>2089</v>
      </c>
      <c r="K296" s="5">
        <v>2500</v>
      </c>
      <c r="L296" s="4">
        <v>0.76400000000000001</v>
      </c>
      <c r="M296" s="4">
        <v>0.91400000000000003</v>
      </c>
      <c r="N296" s="4">
        <v>0.83200000000000007</v>
      </c>
      <c r="O296" s="4"/>
      <c r="P296" s="4"/>
      <c r="Q296" s="4"/>
    </row>
    <row r="297" spans="1:17" ht="15.75" hidden="1" customHeight="1">
      <c r="A297" s="4">
        <v>8</v>
      </c>
      <c r="B297" s="13" t="s">
        <v>234</v>
      </c>
      <c r="C297" s="5" t="s">
        <v>364</v>
      </c>
      <c r="D297" s="4" t="s">
        <v>279</v>
      </c>
      <c r="E297" s="4"/>
      <c r="F297" s="96" t="s">
        <v>16</v>
      </c>
      <c r="G297" s="49"/>
      <c r="H297" s="29">
        <v>1408</v>
      </c>
      <c r="I297" s="29">
        <v>68</v>
      </c>
      <c r="J297" s="5">
        <f t="shared" si="37"/>
        <v>1476</v>
      </c>
      <c r="K297" s="5">
        <v>2500</v>
      </c>
      <c r="L297" s="4">
        <v>0.56299999999999994</v>
      </c>
      <c r="M297" s="4">
        <v>0.95400000000000007</v>
      </c>
      <c r="N297" s="4">
        <v>0.70799999999999996</v>
      </c>
      <c r="O297" s="4"/>
      <c r="P297" s="4"/>
      <c r="Q297" s="4"/>
    </row>
    <row r="298" spans="1:17" ht="15.75" hidden="1" customHeight="1">
      <c r="A298" s="4">
        <v>8</v>
      </c>
      <c r="B298" s="13" t="s">
        <v>234</v>
      </c>
      <c r="C298" s="5" t="s">
        <v>364</v>
      </c>
      <c r="D298" s="4" t="s">
        <v>279</v>
      </c>
      <c r="E298" s="4"/>
      <c r="F298" s="4" t="s">
        <v>224</v>
      </c>
      <c r="G298" s="49"/>
      <c r="H298" s="29">
        <v>1727</v>
      </c>
      <c r="I298" s="29">
        <v>325</v>
      </c>
      <c r="J298" s="5">
        <f t="shared" si="37"/>
        <v>2052</v>
      </c>
      <c r="K298" s="5">
        <v>2500</v>
      </c>
      <c r="L298" s="4">
        <v>0.69099999999999995</v>
      </c>
      <c r="M298" s="4">
        <v>0.84200000000000008</v>
      </c>
      <c r="N298" s="4">
        <v>0.75900000000000001</v>
      </c>
      <c r="O298" s="4"/>
      <c r="P298" s="4"/>
      <c r="Q298" s="4"/>
    </row>
    <row r="299" spans="1:17" ht="15.75" hidden="1" customHeight="1">
      <c r="A299" s="4">
        <v>8</v>
      </c>
      <c r="B299" s="68" t="s">
        <v>234</v>
      </c>
      <c r="C299" s="5" t="s">
        <v>364</v>
      </c>
      <c r="D299" s="4" t="s">
        <v>279</v>
      </c>
      <c r="E299" s="4"/>
      <c r="F299" s="88" t="s">
        <v>91</v>
      </c>
      <c r="G299" s="49"/>
      <c r="H299" s="29">
        <v>1500</v>
      </c>
      <c r="I299" s="29">
        <v>122</v>
      </c>
      <c r="J299" s="5">
        <f t="shared" si="37"/>
        <v>1622</v>
      </c>
      <c r="K299" s="5">
        <v>2500</v>
      </c>
      <c r="L299" s="4">
        <v>0.6</v>
      </c>
      <c r="M299" s="4">
        <v>0.92500000000000004</v>
      </c>
      <c r="N299" s="4">
        <v>0.72799999999999998</v>
      </c>
      <c r="O299" s="4"/>
      <c r="P299" s="4"/>
      <c r="Q299" s="4"/>
    </row>
    <row r="300" spans="1:17" ht="15.75" hidden="1" customHeight="1">
      <c r="A300" s="4">
        <v>8</v>
      </c>
      <c r="B300" s="68" t="s">
        <v>234</v>
      </c>
      <c r="C300" s="5" t="s">
        <v>366</v>
      </c>
      <c r="D300" s="4" t="s">
        <v>279</v>
      </c>
      <c r="E300" s="228" t="s">
        <v>367</v>
      </c>
      <c r="F300" s="105" t="s">
        <v>365</v>
      </c>
      <c r="G300" s="49"/>
      <c r="H300" s="28">
        <v>2333</v>
      </c>
      <c r="I300" s="28">
        <v>86</v>
      </c>
      <c r="J300" s="28">
        <v>2419</v>
      </c>
      <c r="K300" s="5">
        <v>2500</v>
      </c>
      <c r="L300" s="4">
        <v>0.93299999999999994</v>
      </c>
      <c r="M300" s="4">
        <v>0.96400000000000008</v>
      </c>
      <c r="N300" s="4">
        <v>0.94799999999999995</v>
      </c>
      <c r="O300" s="4"/>
      <c r="P300" s="4"/>
      <c r="Q300" s="4"/>
    </row>
    <row r="301" spans="1:17" ht="15.75" hidden="1" customHeight="1">
      <c r="A301" s="4">
        <v>8</v>
      </c>
      <c r="B301" s="13" t="s">
        <v>234</v>
      </c>
      <c r="C301" s="5" t="s">
        <v>366</v>
      </c>
      <c r="D301" s="4" t="s">
        <v>279</v>
      </c>
      <c r="E301" s="229"/>
      <c r="F301" s="105" t="s">
        <v>243</v>
      </c>
      <c r="G301" s="49"/>
      <c r="H301" s="28">
        <v>2389</v>
      </c>
      <c r="I301" s="28">
        <v>147</v>
      </c>
      <c r="J301" s="28">
        <v>2536</v>
      </c>
      <c r="K301" s="5">
        <v>2500</v>
      </c>
      <c r="L301" s="4">
        <v>0.95599999999999996</v>
      </c>
      <c r="M301" s="4">
        <v>0.94200000000000006</v>
      </c>
      <c r="N301" s="4">
        <v>0.94900000000000007</v>
      </c>
      <c r="O301" s="4"/>
      <c r="P301" s="4"/>
      <c r="Q301" s="4"/>
    </row>
    <row r="302" spans="1:17" ht="15.75" hidden="1" customHeight="1">
      <c r="A302" s="4">
        <v>8</v>
      </c>
      <c r="B302" s="68" t="s">
        <v>234</v>
      </c>
      <c r="C302" s="5" t="s">
        <v>366</v>
      </c>
      <c r="D302" s="4" t="s">
        <v>279</v>
      </c>
      <c r="E302" s="229"/>
      <c r="F302" s="69" t="s">
        <v>14</v>
      </c>
      <c r="G302" s="106"/>
      <c r="H302" s="107">
        <v>2304</v>
      </c>
      <c r="I302" s="107">
        <v>260</v>
      </c>
      <c r="J302" s="107">
        <v>2564</v>
      </c>
      <c r="K302" s="108">
        <v>2500</v>
      </c>
      <c r="L302" s="109">
        <v>0.92200000000000004</v>
      </c>
      <c r="M302" s="109">
        <v>0.89900000000000002</v>
      </c>
      <c r="N302" s="110">
        <v>0.91</v>
      </c>
      <c r="O302" s="4"/>
      <c r="P302" s="4"/>
      <c r="Q302" s="4"/>
    </row>
    <row r="303" spans="1:17" ht="15.75" hidden="1" customHeight="1">
      <c r="A303" s="4">
        <v>8</v>
      </c>
      <c r="B303" s="13" t="s">
        <v>234</v>
      </c>
      <c r="C303" s="5" t="s">
        <v>366</v>
      </c>
      <c r="D303" s="4" t="s">
        <v>279</v>
      </c>
      <c r="E303" s="229"/>
      <c r="F303" s="103" t="s">
        <v>10</v>
      </c>
      <c r="G303" s="99"/>
      <c r="H303" s="111">
        <v>2250</v>
      </c>
      <c r="I303" s="111">
        <v>170</v>
      </c>
      <c r="J303" s="111">
        <v>2420</v>
      </c>
      <c r="K303" s="112">
        <v>2500</v>
      </c>
      <c r="L303" s="101">
        <v>0.9</v>
      </c>
      <c r="M303" s="101">
        <v>0.93</v>
      </c>
      <c r="N303" s="113">
        <v>0.91500000000000004</v>
      </c>
      <c r="O303" s="4"/>
      <c r="P303" s="4"/>
      <c r="Q303" s="4"/>
    </row>
    <row r="304" spans="1:17" ht="15.75" hidden="1" customHeight="1">
      <c r="A304" s="4">
        <v>8</v>
      </c>
      <c r="B304" s="13" t="s">
        <v>234</v>
      </c>
      <c r="C304" s="5" t="s">
        <v>366</v>
      </c>
      <c r="D304" s="4" t="s">
        <v>279</v>
      </c>
      <c r="E304" s="229"/>
      <c r="F304" s="5" t="s">
        <v>19</v>
      </c>
      <c r="G304" s="49"/>
      <c r="H304" s="28">
        <v>2337</v>
      </c>
      <c r="I304" s="28">
        <v>306</v>
      </c>
      <c r="J304" s="28">
        <v>2643</v>
      </c>
      <c r="K304" s="5">
        <v>2500</v>
      </c>
      <c r="L304" s="4">
        <v>0.93500000000000005</v>
      </c>
      <c r="M304" s="4">
        <v>0.88400000000000001</v>
      </c>
      <c r="N304" s="4">
        <v>0.90900000000000003</v>
      </c>
      <c r="O304" s="4"/>
      <c r="P304" s="4"/>
      <c r="Q304" s="4"/>
    </row>
    <row r="305" spans="1:17" ht="15.75" hidden="1" customHeight="1">
      <c r="A305" s="4">
        <v>8</v>
      </c>
      <c r="B305" s="13" t="s">
        <v>234</v>
      </c>
      <c r="C305" s="5" t="s">
        <v>366</v>
      </c>
      <c r="D305" s="4" t="s">
        <v>279</v>
      </c>
      <c r="E305" s="229"/>
      <c r="F305" s="60" t="s">
        <v>22</v>
      </c>
      <c r="G305" s="49"/>
      <c r="H305" s="28">
        <v>2191</v>
      </c>
      <c r="I305" s="28">
        <v>312</v>
      </c>
      <c r="J305" s="28">
        <v>2503</v>
      </c>
      <c r="K305" s="5">
        <v>2500</v>
      </c>
      <c r="L305" s="4">
        <v>0.87599999999999989</v>
      </c>
      <c r="M305" s="4">
        <v>0.875</v>
      </c>
      <c r="N305" s="4">
        <v>0.875</v>
      </c>
      <c r="O305" s="4"/>
      <c r="P305" s="4"/>
      <c r="Q305" s="4"/>
    </row>
    <row r="306" spans="1:17" ht="15.75" hidden="1" customHeight="1">
      <c r="A306" s="4">
        <v>8</v>
      </c>
      <c r="B306" s="13" t="s">
        <v>234</v>
      </c>
      <c r="C306" s="5" t="s">
        <v>366</v>
      </c>
      <c r="D306" s="4" t="s">
        <v>279</v>
      </c>
      <c r="E306" s="229"/>
      <c r="F306" s="96" t="s">
        <v>16</v>
      </c>
      <c r="G306" s="49"/>
      <c r="H306" s="28">
        <v>1722</v>
      </c>
      <c r="I306" s="28">
        <v>445</v>
      </c>
      <c r="J306" s="28">
        <v>2167</v>
      </c>
      <c r="K306" s="5">
        <v>2500</v>
      </c>
      <c r="L306" s="4">
        <v>0.68900000000000006</v>
      </c>
      <c r="M306" s="4">
        <v>0.79500000000000004</v>
      </c>
      <c r="N306" s="4">
        <v>0.73799999999999999</v>
      </c>
      <c r="O306" s="4"/>
      <c r="P306" s="4"/>
      <c r="Q306" s="4"/>
    </row>
    <row r="307" spans="1:17" ht="15.75" hidden="1" customHeight="1">
      <c r="A307" s="4">
        <v>8</v>
      </c>
      <c r="B307" s="13" t="s">
        <v>234</v>
      </c>
      <c r="C307" s="5" t="s">
        <v>366</v>
      </c>
      <c r="D307" s="4" t="s">
        <v>279</v>
      </c>
      <c r="E307" s="229"/>
      <c r="F307" s="4" t="s">
        <v>224</v>
      </c>
      <c r="G307" s="49"/>
      <c r="H307" s="28">
        <v>1708</v>
      </c>
      <c r="I307" s="28">
        <v>369</v>
      </c>
      <c r="J307" s="28">
        <v>2077</v>
      </c>
      <c r="K307" s="5">
        <v>2500</v>
      </c>
      <c r="L307" s="4">
        <v>0.68299999999999994</v>
      </c>
      <c r="M307" s="4">
        <v>0.82200000000000006</v>
      </c>
      <c r="N307" s="4">
        <v>0.746</v>
      </c>
      <c r="O307" s="4"/>
      <c r="P307" s="4"/>
      <c r="Q307" s="4"/>
    </row>
    <row r="308" spans="1:17" ht="15.75" hidden="1" customHeight="1">
      <c r="A308" s="4">
        <v>8</v>
      </c>
      <c r="B308" s="13" t="s">
        <v>234</v>
      </c>
      <c r="C308" s="5" t="s">
        <v>366</v>
      </c>
      <c r="D308" s="4" t="s">
        <v>279</v>
      </c>
      <c r="E308" s="232"/>
      <c r="F308" s="88" t="s">
        <v>91</v>
      </c>
      <c r="G308" s="49"/>
      <c r="H308" s="4">
        <v>1986</v>
      </c>
      <c r="I308" s="4">
        <v>81</v>
      </c>
      <c r="J308" s="4">
        <v>2067</v>
      </c>
      <c r="K308" s="5">
        <v>2500</v>
      </c>
      <c r="L308" s="4">
        <v>0.79400000000000004</v>
      </c>
      <c r="M308" s="4">
        <v>0.96099999999999997</v>
      </c>
      <c r="N308" s="4">
        <v>0.87</v>
      </c>
      <c r="O308" s="4"/>
      <c r="P308" s="4"/>
      <c r="Q308" s="4"/>
    </row>
    <row r="309" spans="1:17" ht="15.75" hidden="1" customHeight="1">
      <c r="A309" s="4">
        <v>8</v>
      </c>
      <c r="B309" s="13" t="s">
        <v>234</v>
      </c>
      <c r="C309" s="4" t="s">
        <v>368</v>
      </c>
      <c r="D309" s="4" t="s">
        <v>279</v>
      </c>
      <c r="E309" s="235" t="s">
        <v>369</v>
      </c>
      <c r="F309" s="105" t="s">
        <v>365</v>
      </c>
      <c r="G309" s="49"/>
      <c r="H309" s="29">
        <v>56</v>
      </c>
      <c r="I309" s="29">
        <v>3</v>
      </c>
      <c r="J309" s="29">
        <v>59</v>
      </c>
      <c r="K309" s="5">
        <v>61</v>
      </c>
      <c r="L309" s="4">
        <v>0.91799999999999993</v>
      </c>
      <c r="M309" s="4">
        <v>0.94900000000000007</v>
      </c>
      <c r="N309" s="4">
        <v>0.93299999999999994</v>
      </c>
      <c r="O309" s="4"/>
      <c r="P309" s="4"/>
      <c r="Q309" s="4"/>
    </row>
    <row r="310" spans="1:17" ht="15.75" hidden="1" customHeight="1">
      <c r="A310" s="4">
        <v>8</v>
      </c>
      <c r="B310" s="13" t="s">
        <v>234</v>
      </c>
      <c r="C310" s="4" t="s">
        <v>368</v>
      </c>
      <c r="D310" s="4" t="s">
        <v>279</v>
      </c>
      <c r="E310" s="229"/>
      <c r="F310" s="105" t="s">
        <v>243</v>
      </c>
      <c r="G310" s="49"/>
      <c r="H310" s="29">
        <v>57</v>
      </c>
      <c r="I310" s="29">
        <v>12</v>
      </c>
      <c r="J310" s="29">
        <v>69</v>
      </c>
      <c r="K310" s="5">
        <v>61</v>
      </c>
      <c r="L310" s="4">
        <v>0.93400000000000005</v>
      </c>
      <c r="M310" s="4">
        <v>0.82599999999999996</v>
      </c>
      <c r="N310" s="4">
        <v>0.877</v>
      </c>
      <c r="O310" s="4"/>
      <c r="P310" s="4"/>
      <c r="Q310" s="4"/>
    </row>
    <row r="311" spans="1:17" ht="15.75" hidden="1" customHeight="1">
      <c r="A311" s="4">
        <v>8</v>
      </c>
      <c r="B311" s="13" t="s">
        <v>234</v>
      </c>
      <c r="C311" s="4" t="s">
        <v>368</v>
      </c>
      <c r="D311" s="4" t="s">
        <v>279</v>
      </c>
      <c r="E311" s="229"/>
      <c r="F311" s="69" t="s">
        <v>14</v>
      </c>
      <c r="G311" s="49"/>
      <c r="H311" s="29">
        <v>56</v>
      </c>
      <c r="I311" s="29">
        <v>17</v>
      </c>
      <c r="J311" s="29">
        <v>73</v>
      </c>
      <c r="K311" s="5">
        <v>61</v>
      </c>
      <c r="L311" s="4">
        <v>0.91799999999999993</v>
      </c>
      <c r="M311" s="4">
        <v>0.76700000000000002</v>
      </c>
      <c r="N311" s="4">
        <v>0.83599999999999997</v>
      </c>
      <c r="O311" s="4"/>
      <c r="P311" s="4"/>
      <c r="Q311" s="4"/>
    </row>
    <row r="312" spans="1:17" ht="15.75" hidden="1" customHeight="1">
      <c r="A312" s="4">
        <v>8</v>
      </c>
      <c r="B312" s="13" t="s">
        <v>234</v>
      </c>
      <c r="C312" s="4" t="s">
        <v>368</v>
      </c>
      <c r="D312" s="4" t="s">
        <v>279</v>
      </c>
      <c r="E312" s="229"/>
      <c r="F312" s="44" t="s">
        <v>10</v>
      </c>
      <c r="G312" s="49"/>
      <c r="H312" s="29">
        <v>50</v>
      </c>
      <c r="I312" s="29">
        <v>11</v>
      </c>
      <c r="J312" s="29">
        <v>61</v>
      </c>
      <c r="K312" s="5">
        <v>61</v>
      </c>
      <c r="L312" s="4">
        <v>0.82</v>
      </c>
      <c r="M312" s="4">
        <v>0.82</v>
      </c>
      <c r="N312" s="4">
        <v>0.82</v>
      </c>
      <c r="O312" s="4"/>
      <c r="P312" s="4"/>
      <c r="Q312" s="4"/>
    </row>
    <row r="313" spans="1:17" ht="15.75" hidden="1" customHeight="1">
      <c r="A313" s="4">
        <v>8</v>
      </c>
      <c r="B313" s="13" t="s">
        <v>234</v>
      </c>
      <c r="C313" s="4" t="s">
        <v>368</v>
      </c>
      <c r="D313" s="4" t="s">
        <v>279</v>
      </c>
      <c r="E313" s="229"/>
      <c r="F313" s="5" t="s">
        <v>19</v>
      </c>
      <c r="G313" s="49"/>
      <c r="H313" s="29">
        <v>57</v>
      </c>
      <c r="I313" s="29">
        <v>33</v>
      </c>
      <c r="J313" s="29">
        <v>90</v>
      </c>
      <c r="K313" s="5">
        <v>61</v>
      </c>
      <c r="L313" s="4">
        <v>0.93400000000000005</v>
      </c>
      <c r="M313" s="4">
        <v>0.63300000000000001</v>
      </c>
      <c r="N313" s="4">
        <v>0.755</v>
      </c>
      <c r="O313" s="4"/>
      <c r="P313" s="4"/>
      <c r="Q313" s="4"/>
    </row>
    <row r="314" spans="1:17" ht="15.75" hidden="1" customHeight="1">
      <c r="A314" s="4">
        <v>8</v>
      </c>
      <c r="B314" s="13" t="s">
        <v>234</v>
      </c>
      <c r="C314" s="4" t="s">
        <v>368</v>
      </c>
      <c r="D314" s="4" t="s">
        <v>279</v>
      </c>
      <c r="E314" s="229"/>
      <c r="F314" s="60" t="s">
        <v>22</v>
      </c>
      <c r="G314" s="49"/>
      <c r="H314" s="29">
        <v>51</v>
      </c>
      <c r="I314" s="29">
        <v>231</v>
      </c>
      <c r="J314" s="29">
        <v>282</v>
      </c>
      <c r="K314" s="5">
        <v>61</v>
      </c>
      <c r="L314" s="4">
        <v>0.83599999999999997</v>
      </c>
      <c r="M314" s="4">
        <v>0.18100000000000002</v>
      </c>
      <c r="N314" s="4">
        <v>0.29799999999999999</v>
      </c>
      <c r="O314" s="4"/>
      <c r="P314" s="4"/>
      <c r="Q314" s="4"/>
    </row>
    <row r="315" spans="1:17" ht="15.75" hidden="1" customHeight="1">
      <c r="A315" s="4">
        <v>8</v>
      </c>
      <c r="B315" s="13" t="s">
        <v>234</v>
      </c>
      <c r="C315" s="4" t="s">
        <v>368</v>
      </c>
      <c r="D315" s="4" t="s">
        <v>279</v>
      </c>
      <c r="E315" s="229"/>
      <c r="F315" s="96" t="s">
        <v>16</v>
      </c>
      <c r="G315" s="49"/>
      <c r="H315" s="29">
        <v>40</v>
      </c>
      <c r="I315" s="29">
        <v>262</v>
      </c>
      <c r="J315" s="29">
        <v>302</v>
      </c>
      <c r="K315" s="5">
        <v>61</v>
      </c>
      <c r="L315" s="4">
        <v>0.65599999999999992</v>
      </c>
      <c r="M315" s="4">
        <v>0.13200000000000001</v>
      </c>
      <c r="N315" s="4">
        <v>0.22</v>
      </c>
      <c r="O315" s="4"/>
      <c r="P315" s="4"/>
      <c r="Q315" s="4"/>
    </row>
    <row r="316" spans="1:17" ht="15.75" hidden="1" customHeight="1">
      <c r="A316" s="4">
        <v>8</v>
      </c>
      <c r="B316" s="13" t="s">
        <v>234</v>
      </c>
      <c r="C316" s="4" t="s">
        <v>368</v>
      </c>
      <c r="D316" s="4" t="s">
        <v>279</v>
      </c>
      <c r="E316" s="229"/>
      <c r="F316" s="4" t="s">
        <v>224</v>
      </c>
      <c r="G316" s="49"/>
      <c r="H316" s="29">
        <v>45</v>
      </c>
      <c r="I316" s="29">
        <v>186</v>
      </c>
      <c r="J316" s="29">
        <v>231</v>
      </c>
      <c r="K316" s="5">
        <v>61</v>
      </c>
      <c r="L316" s="4">
        <v>0.73799999999999999</v>
      </c>
      <c r="M316" s="4">
        <v>0.19500000000000001</v>
      </c>
      <c r="N316" s="4">
        <v>0.308</v>
      </c>
      <c r="O316" s="4"/>
      <c r="P316" s="4"/>
      <c r="Q316" s="4"/>
    </row>
    <row r="317" spans="1:17" ht="15.75" hidden="1" customHeight="1">
      <c r="A317" s="4">
        <v>8</v>
      </c>
      <c r="B317" s="13" t="s">
        <v>234</v>
      </c>
      <c r="C317" s="4" t="s">
        <v>368</v>
      </c>
      <c r="D317" s="4" t="s">
        <v>279</v>
      </c>
      <c r="E317" s="230"/>
      <c r="F317" s="88" t="s">
        <v>91</v>
      </c>
      <c r="G317" s="49"/>
      <c r="H317" s="29">
        <v>42</v>
      </c>
      <c r="I317" s="29">
        <v>12</v>
      </c>
      <c r="J317" s="29">
        <v>54</v>
      </c>
      <c r="K317" s="5">
        <v>61</v>
      </c>
      <c r="L317" s="4">
        <v>0.68900000000000006</v>
      </c>
      <c r="M317" s="4">
        <v>0.77800000000000002</v>
      </c>
      <c r="N317" s="4">
        <v>0.73099999999999998</v>
      </c>
      <c r="O317" s="4"/>
      <c r="P317" s="4"/>
      <c r="Q317" s="4"/>
    </row>
    <row r="318" spans="1:17" ht="15.75" hidden="1" customHeight="1">
      <c r="A318" s="4">
        <v>8</v>
      </c>
      <c r="B318" s="13" t="s">
        <v>234</v>
      </c>
      <c r="C318" s="4" t="s">
        <v>370</v>
      </c>
      <c r="D318" s="4" t="s">
        <v>293</v>
      </c>
      <c r="E318" s="4"/>
      <c r="F318" s="105" t="s">
        <v>365</v>
      </c>
      <c r="G318" s="49"/>
      <c r="H318" s="29">
        <v>40</v>
      </c>
      <c r="I318" s="29">
        <v>27</v>
      </c>
      <c r="J318" s="29">
        <v>67</v>
      </c>
      <c r="K318" s="5">
        <v>53</v>
      </c>
      <c r="L318" s="4">
        <v>0.755</v>
      </c>
      <c r="M318" s="4">
        <v>0.59699999999999998</v>
      </c>
      <c r="N318" s="4">
        <v>0.66700000000000004</v>
      </c>
      <c r="O318" s="4"/>
      <c r="P318" s="4"/>
      <c r="Q318" s="4"/>
    </row>
    <row r="319" spans="1:17" ht="15.75" hidden="1" customHeight="1">
      <c r="A319" s="4">
        <v>8</v>
      </c>
      <c r="B319" s="13" t="s">
        <v>234</v>
      </c>
      <c r="C319" s="4" t="s">
        <v>370</v>
      </c>
      <c r="D319" s="4" t="s">
        <v>293</v>
      </c>
      <c r="E319" s="4"/>
      <c r="F319" s="105" t="s">
        <v>243</v>
      </c>
      <c r="G319" s="49"/>
      <c r="H319" s="29">
        <v>42</v>
      </c>
      <c r="I319" s="29">
        <v>37</v>
      </c>
      <c r="J319" s="29">
        <v>79</v>
      </c>
      <c r="K319" s="5">
        <v>53</v>
      </c>
      <c r="L319" s="4">
        <v>0.79200000000000004</v>
      </c>
      <c r="M319" s="4">
        <v>0.53200000000000003</v>
      </c>
      <c r="N319" s="4">
        <v>0.63600000000000001</v>
      </c>
      <c r="O319" s="4"/>
      <c r="P319" s="4"/>
      <c r="Q319" s="4"/>
    </row>
    <row r="320" spans="1:17" ht="15.75" hidden="1" customHeight="1">
      <c r="A320" s="4">
        <v>8</v>
      </c>
      <c r="B320" s="13" t="s">
        <v>234</v>
      </c>
      <c r="C320" s="4" t="s">
        <v>370</v>
      </c>
      <c r="D320" s="4" t="s">
        <v>293</v>
      </c>
      <c r="E320" s="4"/>
      <c r="F320" s="69" t="s">
        <v>14</v>
      </c>
      <c r="G320" s="49"/>
      <c r="H320" s="29">
        <v>42</v>
      </c>
      <c r="I320" s="29">
        <v>148</v>
      </c>
      <c r="J320" s="29">
        <v>190</v>
      </c>
      <c r="K320" s="5">
        <v>53</v>
      </c>
      <c r="L320" s="4">
        <v>0.79200000000000004</v>
      </c>
      <c r="M320" s="4">
        <v>0.221</v>
      </c>
      <c r="N320" s="4">
        <v>0.34600000000000003</v>
      </c>
      <c r="O320" s="4"/>
      <c r="P320" s="4"/>
      <c r="Q320" s="4"/>
    </row>
    <row r="321" spans="1:17" ht="15.75" hidden="1" customHeight="1">
      <c r="A321" s="4">
        <v>8</v>
      </c>
      <c r="B321" s="13" t="s">
        <v>234</v>
      </c>
      <c r="C321" s="4" t="s">
        <v>370</v>
      </c>
      <c r="D321" s="4" t="s">
        <v>293</v>
      </c>
      <c r="E321" s="4"/>
      <c r="F321" s="44" t="s">
        <v>10</v>
      </c>
      <c r="G321" s="49"/>
      <c r="H321" s="29">
        <v>41</v>
      </c>
      <c r="I321" s="29">
        <v>31</v>
      </c>
      <c r="J321" s="29">
        <v>72</v>
      </c>
      <c r="K321" s="5">
        <v>53</v>
      </c>
      <c r="L321" s="4">
        <v>0.77400000000000002</v>
      </c>
      <c r="M321" s="4">
        <v>0.56899999999999995</v>
      </c>
      <c r="N321" s="4">
        <v>0.65599999999999992</v>
      </c>
      <c r="O321" s="4"/>
      <c r="P321" s="4"/>
      <c r="Q321" s="4"/>
    </row>
    <row r="322" spans="1:17" ht="15.75" hidden="1" customHeight="1">
      <c r="A322" s="4">
        <v>8</v>
      </c>
      <c r="B322" s="68" t="s">
        <v>234</v>
      </c>
      <c r="C322" s="4" t="s">
        <v>370</v>
      </c>
      <c r="D322" s="4" t="s">
        <v>293</v>
      </c>
      <c r="E322" s="4"/>
      <c r="F322" s="5" t="s">
        <v>19</v>
      </c>
      <c r="G322" s="49"/>
      <c r="H322" s="29">
        <v>39</v>
      </c>
      <c r="I322" s="29">
        <v>119</v>
      </c>
      <c r="J322" s="29">
        <v>158</v>
      </c>
      <c r="K322" s="5">
        <v>53</v>
      </c>
      <c r="L322" s="4">
        <v>0.73599999999999999</v>
      </c>
      <c r="M322" s="4">
        <v>0.247</v>
      </c>
      <c r="N322" s="4">
        <v>0.37</v>
      </c>
      <c r="O322" s="4"/>
      <c r="P322" s="4"/>
      <c r="Q322" s="4"/>
    </row>
    <row r="323" spans="1:17" ht="15.75" hidden="1" customHeight="1">
      <c r="A323" s="4">
        <v>8</v>
      </c>
      <c r="B323" s="13" t="s">
        <v>234</v>
      </c>
      <c r="C323" s="4" t="s">
        <v>370</v>
      </c>
      <c r="D323" s="4" t="s">
        <v>293</v>
      </c>
      <c r="E323" s="4"/>
      <c r="F323" s="60" t="s">
        <v>22</v>
      </c>
      <c r="G323" s="49"/>
      <c r="H323" s="29">
        <v>34</v>
      </c>
      <c r="I323" s="29">
        <v>123</v>
      </c>
      <c r="J323" s="29">
        <v>157</v>
      </c>
      <c r="K323" s="5">
        <v>53</v>
      </c>
      <c r="L323" s="4">
        <v>0.64200000000000002</v>
      </c>
      <c r="M323" s="4">
        <v>0.217</v>
      </c>
      <c r="N323" s="4">
        <v>0.32400000000000001</v>
      </c>
      <c r="O323" s="4"/>
      <c r="P323" s="4"/>
      <c r="Q323" s="4"/>
    </row>
    <row r="324" spans="1:17" ht="15.75" hidden="1" customHeight="1">
      <c r="A324" s="4">
        <v>8</v>
      </c>
      <c r="B324" s="13" t="s">
        <v>234</v>
      </c>
      <c r="C324" s="4" t="s">
        <v>370</v>
      </c>
      <c r="D324" s="4" t="s">
        <v>293</v>
      </c>
      <c r="E324" s="4"/>
      <c r="F324" s="96" t="s">
        <v>16</v>
      </c>
      <c r="G324" s="49"/>
      <c r="H324" s="29">
        <v>29</v>
      </c>
      <c r="I324" s="29">
        <v>118</v>
      </c>
      <c r="J324" s="29">
        <v>147</v>
      </c>
      <c r="K324" s="5">
        <v>53</v>
      </c>
      <c r="L324" s="4">
        <v>0.54700000000000004</v>
      </c>
      <c r="M324" s="4">
        <v>0.19699999999999998</v>
      </c>
      <c r="N324" s="4">
        <v>0.28999999999999998</v>
      </c>
      <c r="O324" s="4"/>
      <c r="P324" s="4"/>
      <c r="Q324" s="4"/>
    </row>
    <row r="325" spans="1:17" ht="15.75" hidden="1" customHeight="1">
      <c r="A325" s="4">
        <v>8</v>
      </c>
      <c r="B325" s="13" t="s">
        <v>234</v>
      </c>
      <c r="C325" s="4" t="s">
        <v>370</v>
      </c>
      <c r="D325" s="4" t="s">
        <v>293</v>
      </c>
      <c r="E325" s="4"/>
      <c r="F325" s="4" t="s">
        <v>224</v>
      </c>
      <c r="G325" s="49"/>
      <c r="H325" s="29">
        <v>37</v>
      </c>
      <c r="I325" s="29">
        <v>39</v>
      </c>
      <c r="J325" s="29">
        <v>76</v>
      </c>
      <c r="K325" s="5">
        <v>53</v>
      </c>
      <c r="L325" s="4">
        <v>0.69799999999999995</v>
      </c>
      <c r="M325" s="4">
        <v>0.48700000000000004</v>
      </c>
      <c r="N325" s="4">
        <v>0.57399999999999995</v>
      </c>
      <c r="O325" s="4"/>
      <c r="P325" s="4"/>
      <c r="Q325" s="4"/>
    </row>
    <row r="326" spans="1:17" ht="15.75" hidden="1" customHeight="1">
      <c r="A326" s="4">
        <v>8</v>
      </c>
      <c r="B326" s="13" t="s">
        <v>234</v>
      </c>
      <c r="C326" s="4" t="s">
        <v>370</v>
      </c>
      <c r="D326" s="4" t="s">
        <v>293</v>
      </c>
      <c r="E326" s="4"/>
      <c r="F326" s="88" t="s">
        <v>91</v>
      </c>
      <c r="G326" s="49"/>
      <c r="H326" s="29">
        <v>30</v>
      </c>
      <c r="I326" s="29">
        <v>74</v>
      </c>
      <c r="J326" s="29">
        <v>104</v>
      </c>
      <c r="K326" s="5">
        <v>53</v>
      </c>
      <c r="L326" s="4">
        <v>0.56600000000000006</v>
      </c>
      <c r="M326" s="4">
        <v>0.28800000000000003</v>
      </c>
      <c r="N326" s="4">
        <v>0.38200000000000001</v>
      </c>
      <c r="O326" s="4"/>
      <c r="P326" s="4"/>
      <c r="Q326" s="4"/>
    </row>
    <row r="327" spans="1:17" ht="15.75" hidden="1" customHeight="1">
      <c r="A327" s="4">
        <v>8</v>
      </c>
      <c r="B327" s="13" t="s">
        <v>234</v>
      </c>
      <c r="C327" s="4" t="s">
        <v>371</v>
      </c>
      <c r="D327" s="4" t="s">
        <v>293</v>
      </c>
      <c r="E327" s="228" t="s">
        <v>372</v>
      </c>
      <c r="F327" s="105" t="s">
        <v>365</v>
      </c>
      <c r="G327" s="49"/>
      <c r="H327" s="28">
        <v>16</v>
      </c>
      <c r="I327" s="28">
        <v>10</v>
      </c>
      <c r="J327" s="28">
        <v>26</v>
      </c>
      <c r="K327" s="4">
        <v>17</v>
      </c>
      <c r="L327" s="4">
        <v>0.94099999999999995</v>
      </c>
      <c r="M327" s="4">
        <v>0.61499999999999999</v>
      </c>
      <c r="N327" s="4">
        <v>0.74400000000000011</v>
      </c>
      <c r="O327" s="4"/>
      <c r="P327" s="4"/>
      <c r="Q327" s="4"/>
    </row>
    <row r="328" spans="1:17" ht="15.75" hidden="1" customHeight="1">
      <c r="A328" s="4">
        <v>8</v>
      </c>
      <c r="B328" s="13" t="s">
        <v>234</v>
      </c>
      <c r="C328" s="4" t="s">
        <v>371</v>
      </c>
      <c r="D328" s="4" t="s">
        <v>293</v>
      </c>
      <c r="E328" s="229"/>
      <c r="F328" s="105" t="s">
        <v>243</v>
      </c>
      <c r="G328" s="49"/>
      <c r="H328" s="28">
        <v>17</v>
      </c>
      <c r="I328" s="28">
        <v>26</v>
      </c>
      <c r="J328" s="28">
        <v>43</v>
      </c>
      <c r="K328" s="4">
        <v>17</v>
      </c>
      <c r="L328" s="4">
        <v>1</v>
      </c>
      <c r="M328" s="4">
        <v>0.39500000000000002</v>
      </c>
      <c r="N328" s="4">
        <v>0.56600000000000006</v>
      </c>
      <c r="O328" s="4"/>
      <c r="P328" s="4"/>
      <c r="Q328" s="4"/>
    </row>
    <row r="329" spans="1:17" ht="15.75" hidden="1" customHeight="1">
      <c r="A329" s="4">
        <v>8</v>
      </c>
      <c r="B329" s="13" t="s">
        <v>234</v>
      </c>
      <c r="C329" s="4" t="s">
        <v>371</v>
      </c>
      <c r="D329" s="4" t="s">
        <v>293</v>
      </c>
      <c r="E329" s="229"/>
      <c r="F329" s="69" t="s">
        <v>14</v>
      </c>
      <c r="G329" s="49"/>
      <c r="H329" s="28">
        <v>15</v>
      </c>
      <c r="I329" s="28">
        <v>314</v>
      </c>
      <c r="J329" s="28">
        <v>329</v>
      </c>
      <c r="K329" s="4">
        <v>17</v>
      </c>
      <c r="L329" s="4">
        <v>0.88200000000000001</v>
      </c>
      <c r="M329" s="4">
        <v>4.5999999999999999E-2</v>
      </c>
      <c r="N329" s="4">
        <v>8.6999999999999994E-2</v>
      </c>
      <c r="O329" s="4"/>
      <c r="P329" s="4"/>
      <c r="Q329" s="4"/>
    </row>
    <row r="330" spans="1:17" ht="15.75" hidden="1" customHeight="1">
      <c r="A330" s="4">
        <v>8</v>
      </c>
      <c r="B330" s="13" t="s">
        <v>234</v>
      </c>
      <c r="C330" s="4" t="s">
        <v>371</v>
      </c>
      <c r="D330" s="4" t="s">
        <v>293</v>
      </c>
      <c r="E330" s="229"/>
      <c r="F330" s="44" t="s">
        <v>10</v>
      </c>
      <c r="G330" s="49"/>
      <c r="H330" s="28">
        <v>10</v>
      </c>
      <c r="I330" s="28">
        <v>37</v>
      </c>
      <c r="J330" s="28">
        <v>47</v>
      </c>
      <c r="K330" s="4">
        <v>17</v>
      </c>
      <c r="L330" s="4">
        <v>0.58799999999999997</v>
      </c>
      <c r="M330" s="4">
        <v>0.21299999999999999</v>
      </c>
      <c r="N330" s="4">
        <v>0.313</v>
      </c>
      <c r="O330" s="4"/>
      <c r="P330" s="4"/>
      <c r="Q330" s="4"/>
    </row>
    <row r="331" spans="1:17" ht="15.75" hidden="1" customHeight="1">
      <c r="A331" s="4">
        <v>8</v>
      </c>
      <c r="B331" s="13" t="s">
        <v>234</v>
      </c>
      <c r="C331" s="4" t="s">
        <v>371</v>
      </c>
      <c r="D331" s="4" t="s">
        <v>293</v>
      </c>
      <c r="E331" s="229"/>
      <c r="F331" s="5" t="s">
        <v>19</v>
      </c>
      <c r="G331" s="49"/>
      <c r="H331" s="28">
        <v>14</v>
      </c>
      <c r="I331" s="28">
        <v>90</v>
      </c>
      <c r="J331" s="28">
        <v>104</v>
      </c>
      <c r="K331" s="4">
        <v>17</v>
      </c>
      <c r="L331" s="4">
        <v>0.82400000000000007</v>
      </c>
      <c r="M331" s="4">
        <v>0.13500000000000001</v>
      </c>
      <c r="N331" s="4">
        <v>0.23199999999999998</v>
      </c>
      <c r="O331" s="4"/>
      <c r="P331" s="4"/>
      <c r="Q331" s="4"/>
    </row>
    <row r="332" spans="1:17" ht="15.75" hidden="1" customHeight="1">
      <c r="A332" s="4">
        <v>8</v>
      </c>
      <c r="B332" s="13" t="s">
        <v>234</v>
      </c>
      <c r="C332" s="4" t="s">
        <v>371</v>
      </c>
      <c r="D332" s="4" t="s">
        <v>293</v>
      </c>
      <c r="E332" s="229"/>
      <c r="F332" s="60" t="s">
        <v>22</v>
      </c>
      <c r="G332" s="49"/>
      <c r="H332" s="28">
        <v>16</v>
      </c>
      <c r="I332" s="28">
        <v>327</v>
      </c>
      <c r="J332" s="28">
        <v>343</v>
      </c>
      <c r="K332" s="4">
        <v>17</v>
      </c>
      <c r="L332" s="4">
        <v>0.94099999999999995</v>
      </c>
      <c r="M332" s="4">
        <v>4.7E-2</v>
      </c>
      <c r="N332" s="4">
        <v>0.09</v>
      </c>
      <c r="O332" s="4"/>
      <c r="P332" s="4"/>
      <c r="Q332" s="4"/>
    </row>
    <row r="333" spans="1:17" ht="15.75" hidden="1" customHeight="1">
      <c r="A333" s="4">
        <v>8</v>
      </c>
      <c r="B333" s="13" t="s">
        <v>234</v>
      </c>
      <c r="C333" s="4" t="s">
        <v>371</v>
      </c>
      <c r="D333" s="4" t="s">
        <v>293</v>
      </c>
      <c r="E333" s="229"/>
      <c r="F333" s="96" t="s">
        <v>16</v>
      </c>
      <c r="G333" s="49"/>
      <c r="H333" s="28">
        <v>9</v>
      </c>
      <c r="I333" s="28">
        <v>343</v>
      </c>
      <c r="J333" s="28">
        <v>352</v>
      </c>
      <c r="K333" s="4">
        <v>17</v>
      </c>
      <c r="L333" s="4">
        <v>0.52900000000000003</v>
      </c>
      <c r="M333" s="4">
        <v>2.6000000000000002E-2</v>
      </c>
      <c r="N333" s="4">
        <v>0.05</v>
      </c>
      <c r="O333" s="4"/>
      <c r="P333" s="4"/>
      <c r="Q333" s="4"/>
    </row>
    <row r="334" spans="1:17" ht="15.75" hidden="1" customHeight="1">
      <c r="A334" s="4">
        <v>8</v>
      </c>
      <c r="B334" s="13" t="s">
        <v>234</v>
      </c>
      <c r="C334" s="4" t="s">
        <v>371</v>
      </c>
      <c r="D334" s="4" t="s">
        <v>293</v>
      </c>
      <c r="E334" s="230"/>
      <c r="F334" s="4" t="s">
        <v>224</v>
      </c>
      <c r="G334" s="49"/>
      <c r="H334" s="28">
        <v>11</v>
      </c>
      <c r="I334" s="28">
        <v>39</v>
      </c>
      <c r="J334" s="28">
        <v>50</v>
      </c>
      <c r="K334" s="4">
        <v>17</v>
      </c>
      <c r="L334" s="4">
        <v>0.64700000000000002</v>
      </c>
      <c r="M334" s="4">
        <v>0.22</v>
      </c>
      <c r="N334" s="4">
        <v>0.32799999999999996</v>
      </c>
      <c r="O334" s="4"/>
      <c r="P334" s="4"/>
      <c r="Q334" s="4"/>
    </row>
    <row r="335" spans="1:17" ht="15.75" hidden="1" customHeight="1">
      <c r="A335" s="4">
        <v>8</v>
      </c>
      <c r="B335" s="13" t="s">
        <v>234</v>
      </c>
      <c r="C335" s="4" t="s">
        <v>371</v>
      </c>
      <c r="D335" s="4" t="s">
        <v>293</v>
      </c>
      <c r="E335" s="4"/>
      <c r="F335" s="88" t="s">
        <v>91</v>
      </c>
      <c r="G335" s="49"/>
      <c r="H335" s="28">
        <v>11</v>
      </c>
      <c r="I335" s="28">
        <v>29</v>
      </c>
      <c r="J335" s="28">
        <v>40</v>
      </c>
      <c r="K335" s="4">
        <v>17</v>
      </c>
      <c r="L335" s="4">
        <v>0.64700000000000002</v>
      </c>
      <c r="M335" s="4">
        <v>0.27500000000000002</v>
      </c>
      <c r="N335" s="4">
        <v>0.38600000000000001</v>
      </c>
      <c r="O335" s="4"/>
      <c r="P335" s="4"/>
      <c r="Q335" s="4"/>
    </row>
    <row r="336" spans="1:17" ht="15.75" hidden="1" customHeight="1">
      <c r="A336" s="4">
        <v>8</v>
      </c>
      <c r="B336" s="13" t="s">
        <v>234</v>
      </c>
      <c r="C336" s="4" t="s">
        <v>373</v>
      </c>
      <c r="D336" s="4" t="s">
        <v>293</v>
      </c>
      <c r="E336" s="4"/>
      <c r="F336" s="30" t="s">
        <v>365</v>
      </c>
      <c r="G336" s="49"/>
      <c r="H336" s="4">
        <v>12</v>
      </c>
      <c r="I336" s="4">
        <v>1</v>
      </c>
      <c r="J336" s="4">
        <v>13</v>
      </c>
      <c r="K336" s="4">
        <v>12</v>
      </c>
      <c r="L336" s="4">
        <v>1</v>
      </c>
      <c r="M336" s="4">
        <v>0.92299999999999993</v>
      </c>
      <c r="N336" s="4">
        <v>0.96</v>
      </c>
      <c r="O336" s="4"/>
      <c r="P336" s="4"/>
      <c r="Q336" s="4"/>
    </row>
    <row r="337" spans="1:17" ht="15.75" hidden="1" customHeight="1">
      <c r="A337" s="4">
        <v>8</v>
      </c>
      <c r="B337" s="13" t="s">
        <v>234</v>
      </c>
      <c r="C337" s="4" t="s">
        <v>373</v>
      </c>
      <c r="D337" s="4" t="s">
        <v>293</v>
      </c>
      <c r="E337" s="4"/>
      <c r="F337" s="30" t="s">
        <v>243</v>
      </c>
      <c r="G337" s="49"/>
      <c r="H337" s="4">
        <v>12</v>
      </c>
      <c r="I337" s="4">
        <v>1</v>
      </c>
      <c r="J337" s="4">
        <v>13</v>
      </c>
      <c r="K337" s="4">
        <v>12</v>
      </c>
      <c r="L337" s="4">
        <v>1</v>
      </c>
      <c r="M337" s="4">
        <v>0.92299999999999993</v>
      </c>
      <c r="N337" s="4">
        <v>0.96</v>
      </c>
      <c r="O337" s="4"/>
      <c r="P337" s="4"/>
      <c r="Q337" s="4"/>
    </row>
    <row r="338" spans="1:17" ht="15.75" hidden="1" customHeight="1">
      <c r="A338" s="4">
        <v>8</v>
      </c>
      <c r="B338" s="13" t="s">
        <v>234</v>
      </c>
      <c r="C338" s="4" t="s">
        <v>373</v>
      </c>
      <c r="D338" s="4" t="s">
        <v>293</v>
      </c>
      <c r="E338" s="4"/>
      <c r="F338" s="69" t="s">
        <v>14</v>
      </c>
      <c r="G338" s="49"/>
      <c r="H338" s="4">
        <v>12</v>
      </c>
      <c r="I338" s="4">
        <v>8</v>
      </c>
      <c r="J338" s="4">
        <v>20</v>
      </c>
      <c r="K338" s="4">
        <v>12</v>
      </c>
      <c r="L338" s="4">
        <v>1</v>
      </c>
      <c r="M338" s="4">
        <v>0.6</v>
      </c>
      <c r="N338" s="4">
        <v>0.75</v>
      </c>
      <c r="O338" s="4"/>
      <c r="P338" s="4"/>
      <c r="Q338" s="4"/>
    </row>
    <row r="339" spans="1:17" ht="15.75" hidden="1" customHeight="1">
      <c r="A339" s="4">
        <v>8</v>
      </c>
      <c r="B339" s="13" t="s">
        <v>234</v>
      </c>
      <c r="C339" s="4" t="s">
        <v>373</v>
      </c>
      <c r="D339" s="4" t="s">
        <v>293</v>
      </c>
      <c r="E339" s="4"/>
      <c r="F339" s="44" t="s">
        <v>10</v>
      </c>
      <c r="G339" s="49"/>
      <c r="H339" s="4">
        <v>11</v>
      </c>
      <c r="I339" s="4">
        <v>3</v>
      </c>
      <c r="J339" s="4">
        <v>14</v>
      </c>
      <c r="K339" s="4">
        <v>12</v>
      </c>
      <c r="L339" s="4">
        <v>0.91700000000000004</v>
      </c>
      <c r="M339" s="4">
        <v>0.78599999999999992</v>
      </c>
      <c r="N339" s="4">
        <v>0.84599999999999997</v>
      </c>
      <c r="O339" s="4"/>
      <c r="P339" s="4"/>
      <c r="Q339" s="4"/>
    </row>
    <row r="340" spans="1:17" ht="15.75" hidden="1" customHeight="1">
      <c r="A340" s="4">
        <v>8</v>
      </c>
      <c r="B340" s="13" t="s">
        <v>234</v>
      </c>
      <c r="C340" s="4" t="s">
        <v>373</v>
      </c>
      <c r="D340" s="4" t="s">
        <v>293</v>
      </c>
      <c r="E340" s="4"/>
      <c r="F340" s="5" t="s">
        <v>19</v>
      </c>
      <c r="G340" s="49"/>
      <c r="H340" s="4">
        <v>12</v>
      </c>
      <c r="I340" s="4">
        <v>3</v>
      </c>
      <c r="J340" s="4">
        <v>15</v>
      </c>
      <c r="K340" s="4">
        <v>12</v>
      </c>
      <c r="L340" s="4">
        <v>1</v>
      </c>
      <c r="M340" s="4">
        <v>0.8</v>
      </c>
      <c r="N340" s="4">
        <v>0.88900000000000001</v>
      </c>
      <c r="O340" s="4"/>
      <c r="P340" s="4"/>
      <c r="Q340" s="4"/>
    </row>
    <row r="341" spans="1:17" ht="15.75" hidden="1" customHeight="1">
      <c r="A341" s="4">
        <v>8</v>
      </c>
      <c r="B341" s="13" t="s">
        <v>234</v>
      </c>
      <c r="C341" s="4" t="s">
        <v>373</v>
      </c>
      <c r="D341" s="4" t="s">
        <v>293</v>
      </c>
      <c r="E341" s="4"/>
      <c r="F341" s="60" t="s">
        <v>22</v>
      </c>
      <c r="G341" s="49"/>
      <c r="H341" s="4">
        <v>10</v>
      </c>
      <c r="I341" s="4">
        <v>6</v>
      </c>
      <c r="J341" s="4">
        <v>16</v>
      </c>
      <c r="K341" s="4">
        <v>12</v>
      </c>
      <c r="L341" s="4">
        <v>0.83299999999999996</v>
      </c>
      <c r="M341" s="4">
        <v>0.625</v>
      </c>
      <c r="N341" s="4">
        <v>0.71400000000000008</v>
      </c>
      <c r="O341" s="4"/>
      <c r="P341" s="4"/>
      <c r="Q341" s="4"/>
    </row>
    <row r="342" spans="1:17" ht="15.75" hidden="1" customHeight="1">
      <c r="A342" s="4">
        <v>8</v>
      </c>
      <c r="B342" s="13" t="s">
        <v>234</v>
      </c>
      <c r="C342" s="4" t="s">
        <v>373</v>
      </c>
      <c r="D342" s="4" t="s">
        <v>293</v>
      </c>
      <c r="E342" s="4"/>
      <c r="F342" s="96" t="s">
        <v>16</v>
      </c>
      <c r="G342" s="49"/>
      <c r="H342" s="4">
        <v>10</v>
      </c>
      <c r="I342" s="4">
        <v>23</v>
      </c>
      <c r="J342" s="4">
        <v>33</v>
      </c>
      <c r="K342" s="4">
        <v>12</v>
      </c>
      <c r="L342" s="4">
        <v>0.83299999999999996</v>
      </c>
      <c r="M342" s="4">
        <v>0.30299999999999999</v>
      </c>
      <c r="N342" s="4">
        <v>0.44400000000000001</v>
      </c>
      <c r="O342" s="4"/>
      <c r="P342" s="4"/>
      <c r="Q342" s="4"/>
    </row>
    <row r="343" spans="1:17" ht="15.75" hidden="1" customHeight="1">
      <c r="A343" s="4">
        <v>8</v>
      </c>
      <c r="B343" s="13" t="s">
        <v>234</v>
      </c>
      <c r="C343" s="4" t="s">
        <v>373</v>
      </c>
      <c r="D343" s="4" t="s">
        <v>293</v>
      </c>
      <c r="E343" s="4"/>
      <c r="F343" s="4" t="s">
        <v>224</v>
      </c>
      <c r="G343" s="49"/>
      <c r="H343" s="4">
        <v>5</v>
      </c>
      <c r="I343" s="4">
        <v>5</v>
      </c>
      <c r="J343" s="4">
        <v>10</v>
      </c>
      <c r="K343" s="4">
        <v>12</v>
      </c>
      <c r="L343" s="4">
        <v>0.41700000000000004</v>
      </c>
      <c r="M343" s="4">
        <v>0.5</v>
      </c>
      <c r="N343" s="4">
        <v>0.45500000000000002</v>
      </c>
      <c r="O343" s="4"/>
      <c r="P343" s="4"/>
      <c r="Q343" s="4"/>
    </row>
    <row r="344" spans="1:17" ht="15.75" hidden="1" customHeight="1">
      <c r="A344" s="4">
        <v>8</v>
      </c>
      <c r="B344" s="68" t="s">
        <v>234</v>
      </c>
      <c r="C344" s="4" t="s">
        <v>373</v>
      </c>
      <c r="D344" s="4" t="s">
        <v>293</v>
      </c>
      <c r="E344" s="4"/>
      <c r="F344" s="88" t="s">
        <v>91</v>
      </c>
      <c r="G344" s="49"/>
      <c r="H344" s="4">
        <v>12</v>
      </c>
      <c r="I344" s="4">
        <v>3</v>
      </c>
      <c r="J344" s="4">
        <v>15</v>
      </c>
      <c r="K344" s="4">
        <v>12</v>
      </c>
      <c r="L344" s="4">
        <v>1</v>
      </c>
      <c r="M344" s="4">
        <v>0.8</v>
      </c>
      <c r="N344" s="4">
        <v>0.88900000000000001</v>
      </c>
      <c r="O344" s="4"/>
      <c r="P344" s="4"/>
      <c r="Q344" s="4"/>
    </row>
    <row r="345" spans="1:17" ht="15.75" hidden="1" customHeight="1">
      <c r="A345" s="4">
        <v>9</v>
      </c>
      <c r="B345" s="68" t="s">
        <v>246</v>
      </c>
      <c r="C345" s="4" t="s">
        <v>374</v>
      </c>
      <c r="D345" s="4" t="s">
        <v>293</v>
      </c>
      <c r="E345" s="4"/>
      <c r="F345" s="3" t="s">
        <v>247</v>
      </c>
      <c r="G345" s="49"/>
      <c r="H345" s="4"/>
      <c r="I345" s="4"/>
      <c r="J345" s="4"/>
      <c r="K345" s="4">
        <v>138</v>
      </c>
      <c r="L345" s="4">
        <v>0.89</v>
      </c>
      <c r="M345" s="4">
        <v>0.81</v>
      </c>
      <c r="N345" s="4">
        <v>0.84811764705882353</v>
      </c>
      <c r="O345" s="4"/>
      <c r="P345" s="4"/>
      <c r="Q345" s="4"/>
    </row>
    <row r="346" spans="1:17" ht="15.75" hidden="1" customHeight="1">
      <c r="A346" s="4">
        <v>9</v>
      </c>
      <c r="B346" s="68" t="s">
        <v>246</v>
      </c>
      <c r="C346" s="4" t="s">
        <v>374</v>
      </c>
      <c r="D346" s="4" t="s">
        <v>293</v>
      </c>
      <c r="E346" s="4"/>
      <c r="F346" s="3" t="s">
        <v>248</v>
      </c>
      <c r="G346" s="49"/>
      <c r="H346" s="4"/>
      <c r="I346" s="4"/>
      <c r="J346" s="4"/>
      <c r="K346" s="4">
        <v>138</v>
      </c>
      <c r="L346" s="4">
        <v>0.67</v>
      </c>
      <c r="M346" s="4">
        <v>0.85</v>
      </c>
      <c r="N346" s="4">
        <v>0.74934210526315792</v>
      </c>
      <c r="O346" s="4"/>
      <c r="P346" s="4"/>
      <c r="Q346" s="4"/>
    </row>
    <row r="347" spans="1:17" ht="15.75" hidden="1" customHeight="1">
      <c r="A347" s="4">
        <v>9</v>
      </c>
      <c r="B347" s="13" t="s">
        <v>246</v>
      </c>
      <c r="C347" s="4" t="s">
        <v>374</v>
      </c>
      <c r="D347" s="4" t="s">
        <v>293</v>
      </c>
      <c r="E347" s="4"/>
      <c r="F347" s="3" t="s">
        <v>249</v>
      </c>
      <c r="G347" s="49"/>
      <c r="H347" s="4"/>
      <c r="I347" s="4"/>
      <c r="J347" s="4"/>
      <c r="K347" s="4">
        <v>138</v>
      </c>
      <c r="L347" s="4">
        <v>0.46</v>
      </c>
      <c r="M347" s="4">
        <v>0.93</v>
      </c>
      <c r="N347" s="4">
        <v>0.61553956834532375</v>
      </c>
      <c r="O347" s="4"/>
      <c r="P347" s="4"/>
      <c r="Q347" s="4"/>
    </row>
    <row r="348" spans="1:17" ht="15.75" hidden="1" customHeight="1">
      <c r="A348" s="4">
        <v>9</v>
      </c>
      <c r="B348" s="13" t="s">
        <v>246</v>
      </c>
      <c r="C348" s="4" t="s">
        <v>374</v>
      </c>
      <c r="D348" s="4" t="s">
        <v>293</v>
      </c>
      <c r="E348" s="4"/>
      <c r="F348" s="3" t="s">
        <v>250</v>
      </c>
      <c r="G348" s="49"/>
      <c r="H348" s="4"/>
      <c r="I348" s="4"/>
      <c r="J348" s="4"/>
      <c r="K348" s="4">
        <v>138</v>
      </c>
      <c r="L348" s="4">
        <v>0.42</v>
      </c>
      <c r="M348" s="4">
        <v>0.85</v>
      </c>
      <c r="N348" s="4">
        <v>0.5622047244094488</v>
      </c>
      <c r="O348" s="4"/>
      <c r="P348" s="4"/>
      <c r="Q348" s="4"/>
    </row>
    <row r="349" spans="1:17" ht="15.75" hidden="1" customHeight="1">
      <c r="A349" s="4">
        <v>9</v>
      </c>
      <c r="B349" s="13" t="s">
        <v>246</v>
      </c>
      <c r="C349" s="4" t="s">
        <v>374</v>
      </c>
      <c r="D349" s="4" t="s">
        <v>293</v>
      </c>
      <c r="E349" s="4"/>
      <c r="F349" s="57" t="s">
        <v>82</v>
      </c>
      <c r="G349" s="49"/>
      <c r="H349" s="4">
        <v>45</v>
      </c>
      <c r="I349" s="4"/>
      <c r="J349" s="4"/>
      <c r="K349" s="4">
        <v>138</v>
      </c>
      <c r="L349" s="4">
        <v>0.33</v>
      </c>
      <c r="M349" s="4">
        <v>0.44</v>
      </c>
      <c r="N349" s="4">
        <v>0.37714285714285717</v>
      </c>
      <c r="O349" s="4"/>
      <c r="P349" s="4"/>
      <c r="Q349" s="4"/>
    </row>
    <row r="350" spans="1:17" ht="15.75" hidden="1" customHeight="1">
      <c r="A350" s="4">
        <v>9</v>
      </c>
      <c r="B350" s="13" t="s">
        <v>246</v>
      </c>
      <c r="C350" s="4" t="s">
        <v>374</v>
      </c>
      <c r="D350" s="4" t="s">
        <v>293</v>
      </c>
      <c r="E350" s="4"/>
      <c r="F350" s="81" t="s">
        <v>21</v>
      </c>
      <c r="G350" s="49"/>
      <c r="H350" s="4"/>
      <c r="I350" s="4"/>
      <c r="J350" s="4"/>
      <c r="K350" s="4">
        <v>138</v>
      </c>
      <c r="L350" s="4">
        <v>0.28999999999999998</v>
      </c>
      <c r="M350" s="4">
        <v>0.74</v>
      </c>
      <c r="N350" s="4">
        <v>0.41669902912621359</v>
      </c>
      <c r="O350" s="4"/>
      <c r="P350" s="4"/>
      <c r="Q350" s="4"/>
    </row>
    <row r="351" spans="1:17" ht="15.75" hidden="1" customHeight="1">
      <c r="A351" s="4">
        <v>9</v>
      </c>
      <c r="B351" s="13" t="s">
        <v>246</v>
      </c>
      <c r="C351" s="4" t="s">
        <v>374</v>
      </c>
      <c r="D351" s="4" t="s">
        <v>293</v>
      </c>
      <c r="E351" s="4"/>
      <c r="F351" s="54" t="s">
        <v>13</v>
      </c>
      <c r="G351" s="49"/>
      <c r="H351" s="4"/>
      <c r="I351" s="4"/>
      <c r="J351" s="4"/>
      <c r="K351" s="4">
        <v>138</v>
      </c>
      <c r="L351" s="4">
        <v>0.25</v>
      </c>
      <c r="M351" s="4">
        <v>0.95</v>
      </c>
      <c r="N351" s="4">
        <v>0.39583333333333337</v>
      </c>
      <c r="O351" s="4"/>
      <c r="P351" s="4"/>
      <c r="Q351" s="4"/>
    </row>
    <row r="352" spans="1:17" ht="15.75" customHeight="1">
      <c r="A352" s="4">
        <v>9</v>
      </c>
      <c r="B352" s="13" t="s">
        <v>246</v>
      </c>
      <c r="C352" s="4" t="s">
        <v>374</v>
      </c>
      <c r="D352" s="4" t="s">
        <v>293</v>
      </c>
      <c r="E352" s="4"/>
      <c r="F352" s="86" t="s">
        <v>99</v>
      </c>
      <c r="G352" s="49"/>
      <c r="H352" s="4"/>
      <c r="I352" s="4"/>
      <c r="J352" s="4"/>
      <c r="K352" s="4">
        <v>138</v>
      </c>
      <c r="L352" s="4">
        <v>0.1</v>
      </c>
      <c r="M352" s="4">
        <v>1</v>
      </c>
      <c r="N352" s="4">
        <v>0.18181818181818182</v>
      </c>
      <c r="O352" s="4"/>
      <c r="P352" s="4"/>
      <c r="Q352" s="4"/>
    </row>
    <row r="353" spans="1:17" ht="15.75" hidden="1" customHeight="1">
      <c r="A353" s="4">
        <v>9</v>
      </c>
      <c r="B353" s="13" t="s">
        <v>246</v>
      </c>
      <c r="C353" s="4" t="s">
        <v>374</v>
      </c>
      <c r="D353" s="4" t="s">
        <v>293</v>
      </c>
      <c r="E353" s="4"/>
      <c r="F353" s="6" t="s">
        <v>251</v>
      </c>
      <c r="G353" s="49"/>
      <c r="H353" s="4"/>
      <c r="I353" s="4"/>
      <c r="J353" s="4"/>
      <c r="K353" s="4">
        <v>138</v>
      </c>
      <c r="L353" s="4">
        <v>0.1</v>
      </c>
      <c r="M353" s="4">
        <v>1</v>
      </c>
      <c r="N353" s="4">
        <v>0.18181818181818182</v>
      </c>
      <c r="O353" s="4"/>
      <c r="P353" s="4"/>
      <c r="Q353" s="4"/>
    </row>
    <row r="354" spans="1:17" ht="15.75" hidden="1" customHeight="1">
      <c r="A354" s="4">
        <v>9</v>
      </c>
      <c r="B354" s="13" t="s">
        <v>246</v>
      </c>
      <c r="C354" s="4" t="s">
        <v>374</v>
      </c>
      <c r="D354" s="4" t="s">
        <v>293</v>
      </c>
      <c r="E354" s="4"/>
      <c r="F354" s="3" t="s">
        <v>158</v>
      </c>
      <c r="G354" s="49"/>
      <c r="H354" s="4"/>
      <c r="I354" s="4"/>
      <c r="J354" s="4"/>
      <c r="K354" s="4">
        <v>138</v>
      </c>
      <c r="L354" s="4">
        <v>0.1</v>
      </c>
      <c r="M354" s="4">
        <v>1</v>
      </c>
      <c r="N354" s="4">
        <v>0.18181818181818182</v>
      </c>
      <c r="O354" s="4"/>
      <c r="P354" s="4"/>
      <c r="Q354" s="4"/>
    </row>
    <row r="355" spans="1:17" ht="15.75" hidden="1" customHeight="1">
      <c r="A355" s="4">
        <v>9</v>
      </c>
      <c r="B355" s="13" t="s">
        <v>246</v>
      </c>
      <c r="C355" s="4" t="s">
        <v>374</v>
      </c>
      <c r="D355" s="4" t="s">
        <v>293</v>
      </c>
      <c r="E355" s="4"/>
      <c r="F355" s="3" t="s">
        <v>252</v>
      </c>
      <c r="G355" s="49"/>
      <c r="H355" s="4"/>
      <c r="I355" s="4"/>
      <c r="J355" s="4"/>
      <c r="K355" s="4">
        <v>138</v>
      </c>
      <c r="L355" s="4">
        <v>0.1</v>
      </c>
      <c r="M355" s="4">
        <v>1</v>
      </c>
      <c r="N355" s="4">
        <v>0.18181818181818182</v>
      </c>
      <c r="O355" s="4"/>
      <c r="P355" s="4"/>
      <c r="Q355" s="4"/>
    </row>
    <row r="356" spans="1:17" ht="15.75" hidden="1" customHeight="1">
      <c r="A356" s="4">
        <v>9</v>
      </c>
      <c r="B356" s="13" t="s">
        <v>246</v>
      </c>
      <c r="C356" s="4" t="s">
        <v>374</v>
      </c>
      <c r="D356" s="4" t="s">
        <v>293</v>
      </c>
      <c r="E356" s="4"/>
      <c r="F356" s="3" t="s">
        <v>253</v>
      </c>
      <c r="G356" s="49"/>
      <c r="H356" s="4"/>
      <c r="I356" s="4"/>
      <c r="J356" s="4"/>
      <c r="K356" s="4">
        <v>138</v>
      </c>
      <c r="L356" s="4">
        <v>0.1</v>
      </c>
      <c r="M356" s="4">
        <v>1</v>
      </c>
      <c r="N356" s="4">
        <v>0.18181818181818182</v>
      </c>
      <c r="O356" s="4"/>
      <c r="P356" s="4"/>
      <c r="Q356" s="4"/>
    </row>
    <row r="357" spans="1:17" ht="15.75" hidden="1" customHeight="1">
      <c r="A357" s="5">
        <v>10</v>
      </c>
      <c r="B357" s="68" t="s">
        <v>255</v>
      </c>
      <c r="C357" s="4" t="s">
        <v>375</v>
      </c>
      <c r="D357" s="4" t="s">
        <v>279</v>
      </c>
      <c r="E357" s="4"/>
      <c r="F357" s="30" t="s">
        <v>107</v>
      </c>
      <c r="G357" s="49"/>
      <c r="H357" s="4">
        <v>44</v>
      </c>
      <c r="I357" s="4">
        <v>0</v>
      </c>
      <c r="J357" s="4">
        <f t="shared" ref="J357:J368" si="38">H357+I357</f>
        <v>44</v>
      </c>
      <c r="K357" s="4">
        <v>50</v>
      </c>
      <c r="L357" s="4">
        <f t="shared" ref="L357:L362" si="39">H357/K357</f>
        <v>0.88</v>
      </c>
      <c r="M357" s="4">
        <f t="shared" ref="M357:M362" si="40">H357/J357</f>
        <v>1</v>
      </c>
      <c r="N357" s="4">
        <f t="shared" ref="N357:N362" si="41">2*L357*M357/(L357+M357)</f>
        <v>0.93617021276595747</v>
      </c>
      <c r="O357" s="4"/>
      <c r="P357" s="5"/>
    </row>
    <row r="358" spans="1:17" ht="15.75" hidden="1" customHeight="1">
      <c r="A358" s="5">
        <v>10</v>
      </c>
      <c r="B358" s="68" t="s">
        <v>255</v>
      </c>
      <c r="C358" s="4" t="s">
        <v>375</v>
      </c>
      <c r="D358" s="4" t="s">
        <v>279</v>
      </c>
      <c r="E358" s="4"/>
      <c r="F358" s="30" t="s">
        <v>288</v>
      </c>
      <c r="G358" s="49"/>
      <c r="H358" s="4">
        <v>39</v>
      </c>
      <c r="I358" s="4">
        <v>0</v>
      </c>
      <c r="J358" s="4">
        <f t="shared" si="38"/>
        <v>39</v>
      </c>
      <c r="K358" s="4">
        <v>50</v>
      </c>
      <c r="L358" s="4">
        <f t="shared" si="39"/>
        <v>0.78</v>
      </c>
      <c r="M358" s="4">
        <f t="shared" si="40"/>
        <v>1</v>
      </c>
      <c r="N358" s="4">
        <f t="shared" si="41"/>
        <v>0.8764044943820225</v>
      </c>
      <c r="O358" s="4"/>
      <c r="P358" s="5"/>
    </row>
    <row r="359" spans="1:17" ht="15.75" hidden="1" customHeight="1">
      <c r="A359" s="5">
        <v>10</v>
      </c>
      <c r="B359" s="68" t="s">
        <v>255</v>
      </c>
      <c r="C359" s="4" t="s">
        <v>375</v>
      </c>
      <c r="D359" s="4" t="s">
        <v>279</v>
      </c>
      <c r="E359" s="4"/>
      <c r="F359" s="3" t="s">
        <v>164</v>
      </c>
      <c r="G359" s="49"/>
      <c r="H359" s="4">
        <v>37</v>
      </c>
      <c r="I359" s="4">
        <v>1</v>
      </c>
      <c r="J359" s="4">
        <f t="shared" si="38"/>
        <v>38</v>
      </c>
      <c r="K359" s="4">
        <v>50</v>
      </c>
      <c r="L359" s="4">
        <f t="shared" si="39"/>
        <v>0.74</v>
      </c>
      <c r="M359" s="4">
        <f t="shared" si="40"/>
        <v>0.97368421052631582</v>
      </c>
      <c r="N359" s="4">
        <f t="shared" si="41"/>
        <v>0.84090909090909094</v>
      </c>
      <c r="O359" s="4"/>
      <c r="P359" s="5"/>
    </row>
    <row r="360" spans="1:17" ht="15.75" hidden="1" customHeight="1">
      <c r="A360" s="5">
        <v>10</v>
      </c>
      <c r="B360" s="68" t="s">
        <v>255</v>
      </c>
      <c r="C360" s="4" t="s">
        <v>375</v>
      </c>
      <c r="D360" s="4" t="s">
        <v>279</v>
      </c>
      <c r="E360" s="4"/>
      <c r="F360" s="30" t="s">
        <v>282</v>
      </c>
      <c r="G360" s="49"/>
      <c r="H360" s="4">
        <v>34</v>
      </c>
      <c r="I360" s="4">
        <v>0</v>
      </c>
      <c r="J360" s="4">
        <f t="shared" si="38"/>
        <v>34</v>
      </c>
      <c r="K360" s="4">
        <v>50</v>
      </c>
      <c r="L360" s="4">
        <f t="shared" si="39"/>
        <v>0.68</v>
      </c>
      <c r="M360" s="4">
        <f t="shared" si="40"/>
        <v>1</v>
      </c>
      <c r="N360" s="4">
        <f t="shared" si="41"/>
        <v>0.80952380952380953</v>
      </c>
      <c r="O360" s="4"/>
      <c r="P360" s="5"/>
    </row>
    <row r="361" spans="1:17" ht="15.75" hidden="1" customHeight="1">
      <c r="A361" s="5">
        <v>10</v>
      </c>
      <c r="B361" s="68" t="s">
        <v>255</v>
      </c>
      <c r="C361" s="4" t="s">
        <v>375</v>
      </c>
      <c r="D361" s="4" t="s">
        <v>279</v>
      </c>
      <c r="E361" s="4"/>
      <c r="F361" s="60" t="s">
        <v>22</v>
      </c>
      <c r="G361" s="49"/>
      <c r="H361" s="4">
        <v>34</v>
      </c>
      <c r="I361" s="4">
        <v>0</v>
      </c>
      <c r="J361" s="4">
        <f t="shared" si="38"/>
        <v>34</v>
      </c>
      <c r="K361" s="4">
        <v>50</v>
      </c>
      <c r="L361" s="4">
        <f t="shared" si="39"/>
        <v>0.68</v>
      </c>
      <c r="M361" s="4">
        <f t="shared" si="40"/>
        <v>1</v>
      </c>
      <c r="N361" s="4">
        <f t="shared" si="41"/>
        <v>0.80952380952380953</v>
      </c>
      <c r="O361" s="4"/>
      <c r="P361" s="5"/>
    </row>
    <row r="362" spans="1:17" ht="15.75" customHeight="1">
      <c r="A362" s="5">
        <v>10</v>
      </c>
      <c r="B362" s="68" t="s">
        <v>255</v>
      </c>
      <c r="C362" s="4" t="s">
        <v>375</v>
      </c>
      <c r="D362" s="4" t="s">
        <v>279</v>
      </c>
      <c r="E362" s="4"/>
      <c r="F362" s="86" t="s">
        <v>99</v>
      </c>
      <c r="G362" s="49"/>
      <c r="H362" s="4">
        <v>27</v>
      </c>
      <c r="I362" s="4">
        <v>0</v>
      </c>
      <c r="J362" s="4">
        <f t="shared" si="38"/>
        <v>27</v>
      </c>
      <c r="K362" s="4">
        <v>50</v>
      </c>
      <c r="L362" s="4">
        <f t="shared" si="39"/>
        <v>0.54</v>
      </c>
      <c r="M362" s="4">
        <f t="shared" si="40"/>
        <v>1</v>
      </c>
      <c r="N362" s="4">
        <f t="shared" si="41"/>
        <v>0.70129870129870131</v>
      </c>
      <c r="O362" s="4"/>
      <c r="P362" s="5"/>
    </row>
    <row r="363" spans="1:17" ht="15.75" hidden="1" customHeight="1">
      <c r="A363" s="5">
        <v>10</v>
      </c>
      <c r="B363" s="68" t="s">
        <v>255</v>
      </c>
      <c r="C363" s="4" t="s">
        <v>375</v>
      </c>
      <c r="D363" s="4" t="s">
        <v>279</v>
      </c>
      <c r="E363" s="4"/>
      <c r="F363" s="54" t="s">
        <v>13</v>
      </c>
      <c r="G363" s="49"/>
      <c r="H363" s="4" t="s">
        <v>2556</v>
      </c>
      <c r="I363" s="4" t="s">
        <v>2556</v>
      </c>
      <c r="J363" s="4" t="s">
        <v>2556</v>
      </c>
      <c r="K363" s="4" t="s">
        <v>2556</v>
      </c>
      <c r="L363" s="4" t="s">
        <v>2556</v>
      </c>
      <c r="M363" s="4" t="s">
        <v>2556</v>
      </c>
      <c r="N363" s="4" t="s">
        <v>2556</v>
      </c>
      <c r="O363" s="4"/>
      <c r="P363" s="5"/>
    </row>
    <row r="364" spans="1:17" ht="15.75" hidden="1" customHeight="1">
      <c r="A364" s="5">
        <v>10</v>
      </c>
      <c r="B364" s="68" t="s">
        <v>255</v>
      </c>
      <c r="C364" s="4" t="s">
        <v>379</v>
      </c>
      <c r="D364" s="4" t="s">
        <v>328</v>
      </c>
      <c r="E364" s="4"/>
      <c r="F364" s="30" t="s">
        <v>288</v>
      </c>
      <c r="G364" s="225" t="s">
        <v>2557</v>
      </c>
      <c r="H364" s="4">
        <v>28</v>
      </c>
      <c r="I364" s="4">
        <v>13</v>
      </c>
      <c r="J364" s="4">
        <f t="shared" si="38"/>
        <v>41</v>
      </c>
      <c r="K364" s="4">
        <v>99</v>
      </c>
      <c r="L364" s="226">
        <f t="shared" ref="L364:L368" si="42">H364/K364</f>
        <v>0.28282828282828282</v>
      </c>
      <c r="M364" s="227">
        <f t="shared" ref="M364:M368" si="43">H364/J364</f>
        <v>0.68292682926829273</v>
      </c>
      <c r="N364" s="227">
        <f t="shared" ref="N364:N368" si="44">2*L364*M364/(L364+M364)</f>
        <v>0.4</v>
      </c>
      <c r="O364" s="4"/>
      <c r="P364" s="5"/>
    </row>
    <row r="365" spans="1:17" ht="15.75" hidden="1" customHeight="1">
      <c r="A365" s="5">
        <v>10</v>
      </c>
      <c r="B365" s="68" t="s">
        <v>255</v>
      </c>
      <c r="C365" s="4" t="s">
        <v>379</v>
      </c>
      <c r="D365" s="4" t="s">
        <v>328</v>
      </c>
      <c r="E365" s="4"/>
      <c r="F365" s="3" t="s">
        <v>164</v>
      </c>
      <c r="G365" s="49" t="s">
        <v>2558</v>
      </c>
      <c r="H365" s="4">
        <v>41</v>
      </c>
      <c r="I365" s="4">
        <v>19</v>
      </c>
      <c r="J365" s="4">
        <f t="shared" si="38"/>
        <v>60</v>
      </c>
      <c r="K365" s="4">
        <v>99</v>
      </c>
      <c r="L365" s="226">
        <f t="shared" si="42"/>
        <v>0.41414141414141414</v>
      </c>
      <c r="M365" s="227">
        <f t="shared" si="43"/>
        <v>0.68333333333333335</v>
      </c>
      <c r="N365" s="227">
        <f t="shared" si="44"/>
        <v>0.51572327044025157</v>
      </c>
      <c r="O365" s="4"/>
      <c r="P365" s="5"/>
    </row>
    <row r="366" spans="1:17" ht="15.75" hidden="1" customHeight="1">
      <c r="A366" s="5">
        <v>10</v>
      </c>
      <c r="B366" s="68" t="s">
        <v>255</v>
      </c>
      <c r="C366" s="4" t="s">
        <v>379</v>
      </c>
      <c r="D366" s="4" t="s">
        <v>328</v>
      </c>
      <c r="E366" s="4"/>
      <c r="F366" s="60" t="s">
        <v>22</v>
      </c>
      <c r="G366" s="49" t="s">
        <v>2559</v>
      </c>
      <c r="H366" s="4">
        <v>29</v>
      </c>
      <c r="I366" s="4">
        <v>45</v>
      </c>
      <c r="J366" s="4">
        <f t="shared" si="38"/>
        <v>74</v>
      </c>
      <c r="K366" s="4">
        <v>99</v>
      </c>
      <c r="L366" s="226">
        <f t="shared" si="42"/>
        <v>0.29292929292929293</v>
      </c>
      <c r="M366" s="227">
        <f t="shared" si="43"/>
        <v>0.39189189189189189</v>
      </c>
      <c r="N366" s="227">
        <f t="shared" si="44"/>
        <v>0.33526011560693642</v>
      </c>
      <c r="O366" s="4"/>
      <c r="P366" s="5"/>
    </row>
    <row r="367" spans="1:17" ht="15.75" customHeight="1">
      <c r="A367" s="5">
        <v>10</v>
      </c>
      <c r="B367" s="68" t="s">
        <v>255</v>
      </c>
      <c r="C367" s="4" t="s">
        <v>379</v>
      </c>
      <c r="D367" s="4" t="s">
        <v>328</v>
      </c>
      <c r="E367" s="4"/>
      <c r="F367" s="86" t="s">
        <v>99</v>
      </c>
      <c r="G367" s="49" t="s">
        <v>2560</v>
      </c>
      <c r="H367" s="4">
        <v>35</v>
      </c>
      <c r="I367" s="4">
        <v>221</v>
      </c>
      <c r="J367" s="4">
        <f t="shared" si="38"/>
        <v>256</v>
      </c>
      <c r="K367" s="4">
        <v>99</v>
      </c>
      <c r="L367" s="226">
        <f t="shared" si="42"/>
        <v>0.35353535353535354</v>
      </c>
      <c r="M367" s="227">
        <f t="shared" si="43"/>
        <v>0.13671875</v>
      </c>
      <c r="N367" s="227">
        <f t="shared" si="44"/>
        <v>0.19718309859154928</v>
      </c>
      <c r="O367" s="4"/>
      <c r="P367" s="5"/>
    </row>
    <row r="368" spans="1:17" ht="15.75" hidden="1" customHeight="1">
      <c r="A368" s="5">
        <v>10</v>
      </c>
      <c r="B368" s="68" t="s">
        <v>255</v>
      </c>
      <c r="C368" s="4" t="s">
        <v>379</v>
      </c>
      <c r="D368" s="4" t="s">
        <v>328</v>
      </c>
      <c r="E368" s="4"/>
      <c r="F368" s="54" t="s">
        <v>13</v>
      </c>
      <c r="G368" s="49" t="s">
        <v>2561</v>
      </c>
      <c r="H368" s="4">
        <v>27</v>
      </c>
      <c r="I368" s="4">
        <v>4</v>
      </c>
      <c r="J368" s="4">
        <f t="shared" si="38"/>
        <v>31</v>
      </c>
      <c r="K368" s="4">
        <v>99</v>
      </c>
      <c r="L368" s="226">
        <f t="shared" si="42"/>
        <v>0.27272727272727271</v>
      </c>
      <c r="M368" s="227">
        <f t="shared" si="43"/>
        <v>0.87096774193548387</v>
      </c>
      <c r="N368" s="227">
        <f t="shared" si="44"/>
        <v>0.41538461538461541</v>
      </c>
      <c r="O368" s="4"/>
      <c r="P368" s="5"/>
    </row>
    <row r="369" spans="4:16" ht="15.75" customHeight="1">
      <c r="D369" s="4"/>
      <c r="E369" s="4"/>
      <c r="F369" s="4"/>
      <c r="G369" s="49"/>
      <c r="H369" s="4"/>
      <c r="I369" s="4"/>
      <c r="J369" s="4"/>
      <c r="K369" s="4"/>
      <c r="L369" s="4"/>
      <c r="M369" s="4"/>
      <c r="N369" s="71"/>
      <c r="O369" s="4"/>
      <c r="P369" s="5"/>
    </row>
    <row r="370" spans="4:16" ht="15.75" customHeight="1">
      <c r="D370" s="4"/>
      <c r="E370" s="4"/>
      <c r="F370" s="4"/>
      <c r="G370" s="49"/>
      <c r="H370" s="4"/>
      <c r="I370" s="4"/>
      <c r="J370" s="4"/>
      <c r="K370" s="4"/>
      <c r="L370" s="4"/>
      <c r="M370" s="4"/>
      <c r="N370" s="4"/>
      <c r="O370" s="4"/>
      <c r="P370" s="5"/>
    </row>
    <row r="371" spans="4:16" ht="15.75" customHeight="1">
      <c r="D371" s="4"/>
      <c r="E371" s="4"/>
      <c r="F371" s="4"/>
      <c r="G371" s="49"/>
      <c r="H371" s="4"/>
      <c r="I371" s="4"/>
      <c r="J371" s="4"/>
      <c r="K371" s="4"/>
      <c r="L371" s="4"/>
      <c r="M371" s="4"/>
      <c r="N371" s="4"/>
      <c r="O371" s="4"/>
      <c r="P371" s="5"/>
    </row>
    <row r="372" spans="4:16" ht="15.75" customHeight="1">
      <c r="D372" s="4"/>
      <c r="E372" s="4"/>
      <c r="F372" s="4"/>
      <c r="G372" s="49"/>
      <c r="H372" s="4"/>
      <c r="I372" s="4"/>
      <c r="J372" s="4"/>
      <c r="K372" s="4"/>
      <c r="L372" s="4"/>
      <c r="M372" s="4"/>
      <c r="N372" s="4"/>
      <c r="O372" s="4"/>
      <c r="P372" s="5"/>
    </row>
    <row r="373" spans="4:16" ht="15.75" customHeight="1">
      <c r="D373" s="4"/>
      <c r="E373" s="4"/>
      <c r="F373" s="4"/>
      <c r="G373" s="49"/>
      <c r="H373" s="4"/>
      <c r="I373" s="4"/>
      <c r="J373" s="4"/>
      <c r="K373" s="4"/>
      <c r="L373" s="4"/>
      <c r="M373" s="4"/>
      <c r="N373" s="4"/>
      <c r="O373" s="4"/>
      <c r="P373" s="5"/>
    </row>
    <row r="374" spans="4:16" ht="15.75" customHeight="1">
      <c r="D374" s="4"/>
      <c r="E374" s="4"/>
      <c r="F374" s="4"/>
      <c r="G374" s="49"/>
      <c r="H374" s="4"/>
      <c r="I374" s="4"/>
      <c r="J374" s="4"/>
      <c r="K374" s="4"/>
      <c r="L374" s="4"/>
      <c r="M374" s="4"/>
      <c r="N374" s="4"/>
      <c r="O374" s="4"/>
      <c r="P374" s="5"/>
    </row>
    <row r="375" spans="4:16" ht="15.75" customHeight="1">
      <c r="D375" s="4"/>
      <c r="E375" s="4"/>
      <c r="F375" s="4"/>
      <c r="G375" s="49"/>
      <c r="H375" s="4"/>
      <c r="I375" s="4"/>
      <c r="J375" s="4"/>
      <c r="K375" s="4"/>
      <c r="L375" s="4"/>
      <c r="M375" s="4"/>
      <c r="N375" s="4"/>
      <c r="O375" s="4"/>
      <c r="P375" s="5"/>
    </row>
    <row r="376" spans="4:16" ht="15.75" customHeight="1">
      <c r="D376" s="4"/>
      <c r="E376" s="4"/>
      <c r="F376" s="4"/>
      <c r="G376" s="49"/>
      <c r="H376" s="4"/>
      <c r="I376" s="4"/>
      <c r="J376" s="4"/>
      <c r="K376" s="4"/>
      <c r="L376" s="4"/>
      <c r="M376" s="4"/>
      <c r="N376" s="4"/>
      <c r="O376" s="4"/>
      <c r="P376" s="5"/>
    </row>
    <row r="377" spans="4:16" ht="15.75" customHeight="1">
      <c r="D377" s="4"/>
      <c r="E377" s="4"/>
      <c r="F377" s="4"/>
      <c r="G377" s="49"/>
      <c r="H377" s="4"/>
      <c r="I377" s="4"/>
      <c r="J377" s="4"/>
      <c r="K377" s="4"/>
      <c r="L377" s="4"/>
      <c r="M377" s="4"/>
      <c r="N377" s="4"/>
      <c r="O377" s="4"/>
      <c r="P377" s="5"/>
    </row>
    <row r="378" spans="4:16" ht="15.75" customHeight="1">
      <c r="D378" s="4"/>
      <c r="E378" s="4"/>
      <c r="F378" s="4"/>
      <c r="G378" s="49"/>
      <c r="H378" s="4"/>
      <c r="I378" s="4"/>
      <c r="J378" s="4"/>
      <c r="K378" s="4"/>
      <c r="L378" s="4"/>
      <c r="M378" s="4"/>
      <c r="N378" s="4"/>
      <c r="O378" s="4"/>
      <c r="P378" s="5"/>
    </row>
    <row r="379" spans="4:16" ht="15.75" customHeight="1">
      <c r="D379" s="4"/>
      <c r="E379" s="4"/>
      <c r="F379" s="4"/>
      <c r="G379" s="49"/>
      <c r="H379" s="4"/>
      <c r="I379" s="4"/>
      <c r="J379" s="4"/>
      <c r="K379" s="4"/>
      <c r="L379" s="4"/>
      <c r="M379" s="4"/>
      <c r="N379" s="4"/>
      <c r="O379" s="4"/>
      <c r="P379" s="5"/>
    </row>
    <row r="380" spans="4:16" ht="15.75" customHeight="1">
      <c r="D380" s="4"/>
      <c r="E380" s="4"/>
      <c r="F380" s="4"/>
      <c r="G380" s="49"/>
      <c r="H380" s="4"/>
      <c r="I380" s="4"/>
      <c r="J380" s="4"/>
      <c r="K380" s="4"/>
      <c r="L380" s="4"/>
      <c r="M380" s="4"/>
      <c r="N380" s="4"/>
      <c r="O380" s="4"/>
      <c r="P380" s="5"/>
    </row>
    <row r="381" spans="4:16" ht="15.75" customHeight="1">
      <c r="D381" s="4"/>
      <c r="E381" s="4"/>
      <c r="F381" s="4"/>
      <c r="G381" s="49"/>
      <c r="H381" s="4"/>
      <c r="I381" s="4"/>
      <c r="J381" s="4"/>
      <c r="K381" s="4"/>
      <c r="L381" s="4"/>
      <c r="M381" s="4"/>
      <c r="N381" s="4"/>
      <c r="O381" s="4"/>
      <c r="P381" s="5"/>
    </row>
    <row r="382" spans="4:16" ht="15.75" customHeight="1">
      <c r="D382" s="4"/>
      <c r="E382" s="4"/>
      <c r="F382" s="4"/>
      <c r="G382" s="49"/>
      <c r="H382" s="4"/>
      <c r="I382" s="4"/>
      <c r="J382" s="4"/>
      <c r="K382" s="4"/>
      <c r="L382" s="4"/>
      <c r="M382" s="4"/>
      <c r="N382" s="4"/>
      <c r="O382" s="4"/>
      <c r="P382" s="5"/>
    </row>
    <row r="383" spans="4:16" ht="15.75" customHeight="1">
      <c r="D383" s="4"/>
      <c r="E383" s="4"/>
      <c r="F383" s="4"/>
      <c r="G383" s="49"/>
      <c r="H383" s="4"/>
      <c r="I383" s="4"/>
      <c r="J383" s="4"/>
      <c r="K383" s="4"/>
      <c r="L383" s="4"/>
      <c r="M383" s="4"/>
      <c r="N383" s="4"/>
      <c r="O383" s="4"/>
      <c r="P383" s="5"/>
    </row>
    <row r="384" spans="4:16" ht="15.75" customHeight="1">
      <c r="D384" s="4"/>
      <c r="E384" s="4"/>
      <c r="F384" s="4"/>
      <c r="G384" s="49"/>
      <c r="H384" s="4"/>
      <c r="I384" s="4"/>
      <c r="J384" s="4"/>
      <c r="K384" s="4"/>
      <c r="L384" s="4"/>
      <c r="M384" s="4"/>
      <c r="N384" s="4"/>
      <c r="O384" s="4"/>
      <c r="P384" s="5"/>
    </row>
    <row r="385" spans="4:16" ht="15.75" customHeight="1">
      <c r="D385" s="4"/>
      <c r="E385" s="4"/>
      <c r="F385" s="4"/>
      <c r="G385" s="49"/>
      <c r="H385" s="4"/>
      <c r="I385" s="4"/>
      <c r="J385" s="4"/>
      <c r="K385" s="4"/>
      <c r="L385" s="4"/>
      <c r="M385" s="4"/>
      <c r="N385" s="4"/>
      <c r="O385" s="4"/>
      <c r="P385" s="5"/>
    </row>
    <row r="386" spans="4:16" ht="15.75" customHeight="1">
      <c r="D386" s="4"/>
      <c r="E386" s="4"/>
      <c r="F386" s="4"/>
      <c r="G386" s="49"/>
      <c r="H386" s="4"/>
      <c r="I386" s="4"/>
      <c r="J386" s="4"/>
      <c r="K386" s="4"/>
      <c r="L386" s="4"/>
      <c r="M386" s="4"/>
      <c r="N386" s="4"/>
      <c r="O386" s="4"/>
      <c r="P386" s="5"/>
    </row>
    <row r="387" spans="4:16" ht="15.75" customHeight="1">
      <c r="D387" s="4"/>
      <c r="E387" s="4"/>
      <c r="F387" s="4"/>
      <c r="G387" s="49"/>
      <c r="H387" s="4"/>
      <c r="I387" s="4"/>
      <c r="J387" s="4"/>
      <c r="K387" s="4"/>
      <c r="L387" s="4"/>
      <c r="M387" s="4"/>
      <c r="N387" s="4"/>
      <c r="O387" s="4"/>
      <c r="P387" s="5"/>
    </row>
    <row r="388" spans="4:16" ht="15.75" customHeight="1">
      <c r="D388" s="4"/>
      <c r="E388" s="4"/>
      <c r="F388" s="4"/>
      <c r="G388" s="49"/>
      <c r="H388" s="4"/>
      <c r="I388" s="4"/>
      <c r="J388" s="4"/>
      <c r="K388" s="4"/>
      <c r="L388" s="4"/>
      <c r="M388" s="4"/>
      <c r="N388" s="4"/>
      <c r="O388" s="4"/>
      <c r="P388" s="5"/>
    </row>
    <row r="389" spans="4:16" ht="15.75" customHeight="1">
      <c r="D389" s="4"/>
      <c r="E389" s="4"/>
      <c r="F389" s="4"/>
      <c r="G389" s="49"/>
      <c r="H389" s="4"/>
      <c r="I389" s="4"/>
      <c r="J389" s="4"/>
      <c r="K389" s="4"/>
      <c r="L389" s="4"/>
      <c r="M389" s="4"/>
      <c r="N389" s="4"/>
      <c r="O389" s="4"/>
      <c r="P389" s="5"/>
    </row>
    <row r="390" spans="4:16" ht="15.75" customHeight="1">
      <c r="D390" s="4"/>
      <c r="E390" s="4"/>
      <c r="F390" s="4"/>
      <c r="G390" s="49"/>
      <c r="H390" s="4"/>
      <c r="I390" s="4"/>
      <c r="J390" s="4"/>
      <c r="K390" s="4"/>
      <c r="L390" s="4"/>
      <c r="M390" s="4"/>
      <c r="N390" s="4"/>
      <c r="O390" s="4"/>
      <c r="P390" s="5"/>
    </row>
    <row r="391" spans="4:16" ht="15.75" customHeight="1">
      <c r="D391" s="4"/>
      <c r="E391" s="4"/>
      <c r="F391" s="4"/>
      <c r="G391" s="49"/>
      <c r="H391" s="4"/>
      <c r="I391" s="4"/>
      <c r="J391" s="4"/>
      <c r="K391" s="4"/>
      <c r="L391" s="4"/>
      <c r="M391" s="4"/>
      <c r="N391" s="4"/>
      <c r="O391" s="4"/>
      <c r="P391" s="5"/>
    </row>
    <row r="392" spans="4:16" ht="15.75" customHeight="1">
      <c r="D392" s="4"/>
      <c r="E392" s="4"/>
      <c r="F392" s="4"/>
      <c r="G392" s="49"/>
      <c r="H392" s="4"/>
      <c r="I392" s="4"/>
      <c r="J392" s="4"/>
      <c r="K392" s="4"/>
      <c r="L392" s="4"/>
      <c r="M392" s="4"/>
      <c r="N392" s="4"/>
      <c r="O392" s="4"/>
      <c r="P392" s="5"/>
    </row>
    <row r="393" spans="4:16" ht="15.75" customHeight="1">
      <c r="D393" s="4"/>
      <c r="E393" s="4"/>
      <c r="F393" s="4"/>
      <c r="G393" s="49"/>
      <c r="H393" s="4"/>
      <c r="I393" s="4"/>
      <c r="J393" s="4"/>
      <c r="K393" s="4"/>
      <c r="L393" s="4"/>
      <c r="M393" s="4"/>
      <c r="N393" s="4"/>
      <c r="O393" s="4"/>
      <c r="P393" s="5"/>
    </row>
    <row r="394" spans="4:16" ht="15.75" customHeight="1">
      <c r="D394" s="4"/>
      <c r="E394" s="4"/>
      <c r="F394" s="4"/>
      <c r="G394" s="49"/>
      <c r="H394" s="4"/>
      <c r="I394" s="4"/>
      <c r="J394" s="4"/>
      <c r="K394" s="4"/>
      <c r="L394" s="4"/>
      <c r="M394" s="4"/>
      <c r="N394" s="4"/>
      <c r="O394" s="4"/>
      <c r="P394" s="5"/>
    </row>
    <row r="395" spans="4:16" ht="15.75" customHeight="1">
      <c r="D395" s="4"/>
      <c r="E395" s="4"/>
      <c r="F395" s="4"/>
      <c r="G395" s="49"/>
      <c r="H395" s="4"/>
      <c r="I395" s="4"/>
      <c r="J395" s="4"/>
      <c r="K395" s="4"/>
      <c r="L395" s="4"/>
      <c r="M395" s="4"/>
      <c r="N395" s="4"/>
      <c r="O395" s="4"/>
      <c r="P395" s="5"/>
    </row>
    <row r="396" spans="4:16" ht="15.75" customHeight="1">
      <c r="D396" s="4"/>
      <c r="E396" s="4"/>
      <c r="F396" s="4"/>
      <c r="G396" s="49"/>
      <c r="H396" s="4"/>
      <c r="I396" s="4"/>
      <c r="J396" s="4"/>
      <c r="K396" s="4"/>
      <c r="L396" s="4"/>
      <c r="M396" s="4"/>
      <c r="N396" s="4"/>
      <c r="O396" s="4"/>
      <c r="P396" s="5"/>
    </row>
    <row r="397" spans="4:16" ht="15.75" customHeight="1">
      <c r="D397" s="4"/>
      <c r="E397" s="4"/>
      <c r="F397" s="4"/>
      <c r="G397" s="49"/>
      <c r="H397" s="4"/>
      <c r="I397" s="4"/>
      <c r="J397" s="4"/>
      <c r="K397" s="4"/>
      <c r="L397" s="4"/>
      <c r="M397" s="4"/>
      <c r="N397" s="4"/>
      <c r="O397" s="4"/>
      <c r="P397" s="5"/>
    </row>
    <row r="398" spans="4:16" ht="15.75" customHeight="1">
      <c r="D398" s="4"/>
      <c r="E398" s="4"/>
      <c r="F398" s="4"/>
      <c r="G398" s="49"/>
      <c r="H398" s="4"/>
      <c r="I398" s="4"/>
      <c r="J398" s="4"/>
      <c r="K398" s="4"/>
      <c r="L398" s="4"/>
      <c r="M398" s="4"/>
      <c r="N398" s="4"/>
      <c r="O398" s="4"/>
      <c r="P398" s="5"/>
    </row>
    <row r="399" spans="4:16" ht="15.75" customHeight="1">
      <c r="D399" s="4"/>
      <c r="E399" s="4"/>
      <c r="F399" s="4"/>
      <c r="G399" s="49"/>
      <c r="H399" s="4"/>
      <c r="I399" s="4"/>
      <c r="J399" s="4"/>
      <c r="K399" s="4"/>
      <c r="L399" s="4"/>
      <c r="M399" s="4"/>
      <c r="N399" s="4"/>
      <c r="O399" s="4"/>
      <c r="P399" s="5"/>
    </row>
    <row r="400" spans="4:16" ht="15.75" customHeight="1">
      <c r="D400" s="4"/>
      <c r="E400" s="4"/>
      <c r="F400" s="4"/>
      <c r="G400" s="49"/>
      <c r="H400" s="4"/>
      <c r="I400" s="4"/>
      <c r="J400" s="4"/>
      <c r="K400" s="4"/>
      <c r="L400" s="4"/>
      <c r="M400" s="4"/>
      <c r="N400" s="4"/>
      <c r="O400" s="4"/>
      <c r="P400" s="5"/>
    </row>
    <row r="401" spans="4:16" ht="15.75" customHeight="1">
      <c r="D401" s="4"/>
      <c r="E401" s="4"/>
      <c r="F401" s="4"/>
      <c r="G401" s="49"/>
      <c r="H401" s="4"/>
      <c r="I401" s="4"/>
      <c r="J401" s="4"/>
      <c r="K401" s="4"/>
      <c r="L401" s="4"/>
      <c r="M401" s="4"/>
      <c r="N401" s="4"/>
      <c r="O401" s="4"/>
      <c r="P401" s="5"/>
    </row>
    <row r="402" spans="4:16" ht="15.75" customHeight="1">
      <c r="D402" s="4"/>
      <c r="E402" s="4"/>
      <c r="F402" s="4"/>
      <c r="G402" s="49"/>
      <c r="H402" s="4"/>
      <c r="I402" s="4"/>
      <c r="J402" s="4"/>
      <c r="K402" s="4"/>
      <c r="L402" s="4"/>
      <c r="M402" s="4"/>
      <c r="N402" s="4"/>
      <c r="O402" s="4"/>
      <c r="P402" s="5"/>
    </row>
    <row r="403" spans="4:16" ht="15.75" customHeight="1">
      <c r="D403" s="4"/>
      <c r="E403" s="4"/>
      <c r="F403" s="4"/>
      <c r="G403" s="49"/>
      <c r="H403" s="4"/>
      <c r="I403" s="4"/>
      <c r="J403" s="4"/>
      <c r="K403" s="4"/>
      <c r="L403" s="4"/>
      <c r="M403" s="4"/>
      <c r="N403" s="4"/>
      <c r="O403" s="4"/>
      <c r="P403" s="5"/>
    </row>
    <row r="404" spans="4:16" ht="15.75" customHeight="1">
      <c r="D404" s="4"/>
      <c r="E404" s="4"/>
      <c r="F404" s="4"/>
      <c r="G404" s="49"/>
      <c r="H404" s="4"/>
      <c r="I404" s="4"/>
      <c r="J404" s="4"/>
      <c r="K404" s="4"/>
      <c r="L404" s="4"/>
      <c r="M404" s="4"/>
      <c r="N404" s="4"/>
      <c r="O404" s="4"/>
      <c r="P404" s="5"/>
    </row>
    <row r="405" spans="4:16" ht="15.75" customHeight="1">
      <c r="D405" s="4"/>
      <c r="E405" s="4"/>
      <c r="F405" s="4"/>
      <c r="G405" s="49"/>
      <c r="H405" s="4"/>
      <c r="I405" s="4"/>
      <c r="J405" s="4"/>
      <c r="K405" s="4"/>
      <c r="L405" s="4"/>
      <c r="M405" s="4"/>
      <c r="N405" s="4"/>
      <c r="O405" s="4"/>
      <c r="P405" s="5"/>
    </row>
    <row r="406" spans="4:16" ht="15.75" customHeight="1">
      <c r="D406" s="4"/>
      <c r="E406" s="4"/>
      <c r="F406" s="4"/>
      <c r="G406" s="49"/>
      <c r="H406" s="4"/>
      <c r="I406" s="4"/>
      <c r="J406" s="4"/>
      <c r="K406" s="4"/>
      <c r="L406" s="4"/>
      <c r="M406" s="4"/>
      <c r="N406" s="4"/>
      <c r="O406" s="4"/>
      <c r="P406" s="5"/>
    </row>
    <row r="407" spans="4:16" ht="15.75" customHeight="1">
      <c r="D407" s="4"/>
      <c r="E407" s="4"/>
      <c r="F407" s="4"/>
      <c r="G407" s="49"/>
      <c r="H407" s="4"/>
      <c r="I407" s="4"/>
      <c r="J407" s="4"/>
      <c r="K407" s="4"/>
      <c r="L407" s="4"/>
      <c r="M407" s="4"/>
      <c r="N407" s="4"/>
      <c r="O407" s="4"/>
      <c r="P407" s="5"/>
    </row>
    <row r="408" spans="4:16" ht="15.75" customHeight="1">
      <c r="D408" s="4"/>
      <c r="E408" s="4"/>
      <c r="F408" s="4"/>
      <c r="G408" s="49"/>
      <c r="H408" s="4"/>
      <c r="I408" s="4"/>
      <c r="J408" s="4"/>
      <c r="K408" s="4"/>
      <c r="L408" s="4"/>
      <c r="M408" s="4"/>
      <c r="N408" s="4"/>
      <c r="O408" s="4"/>
      <c r="P408" s="5"/>
    </row>
    <row r="409" spans="4:16" ht="15.75" customHeight="1">
      <c r="D409" s="4"/>
      <c r="E409" s="4"/>
      <c r="F409" s="4"/>
      <c r="G409" s="49"/>
      <c r="H409" s="4"/>
      <c r="I409" s="4"/>
      <c r="J409" s="4"/>
      <c r="K409" s="4"/>
      <c r="L409" s="4"/>
      <c r="M409" s="4"/>
      <c r="N409" s="4"/>
      <c r="O409" s="4"/>
      <c r="P409" s="5"/>
    </row>
    <row r="410" spans="4:16" ht="15.75" customHeight="1">
      <c r="D410" s="4"/>
      <c r="E410" s="4"/>
      <c r="F410" s="4"/>
      <c r="G410" s="49"/>
      <c r="H410" s="4"/>
      <c r="I410" s="4"/>
      <c r="J410" s="4"/>
      <c r="K410" s="4"/>
      <c r="L410" s="4"/>
      <c r="M410" s="4"/>
      <c r="N410" s="4"/>
      <c r="O410" s="4"/>
      <c r="P410" s="5"/>
    </row>
    <row r="411" spans="4:16" ht="15.75" customHeight="1">
      <c r="D411" s="4"/>
      <c r="E411" s="4"/>
      <c r="F411" s="4"/>
      <c r="G411" s="49"/>
      <c r="H411" s="4"/>
      <c r="I411" s="4"/>
      <c r="J411" s="4"/>
      <c r="K411" s="4"/>
      <c r="L411" s="4"/>
      <c r="M411" s="4"/>
      <c r="N411" s="4"/>
      <c r="O411" s="4"/>
      <c r="P411" s="5"/>
    </row>
    <row r="412" spans="4:16" ht="15.75" customHeight="1">
      <c r="D412" s="4"/>
      <c r="E412" s="4"/>
      <c r="F412" s="4"/>
      <c r="G412" s="49"/>
      <c r="H412" s="4"/>
      <c r="I412" s="4"/>
      <c r="J412" s="4"/>
      <c r="K412" s="4"/>
      <c r="L412" s="4"/>
      <c r="M412" s="4"/>
      <c r="N412" s="4"/>
      <c r="O412" s="4"/>
      <c r="P412" s="5"/>
    </row>
    <row r="413" spans="4:16" ht="15.75" customHeight="1">
      <c r="D413" s="4"/>
      <c r="E413" s="4"/>
      <c r="F413" s="4"/>
      <c r="G413" s="49"/>
      <c r="H413" s="4"/>
      <c r="I413" s="4"/>
      <c r="J413" s="4"/>
      <c r="K413" s="4"/>
      <c r="L413" s="4"/>
      <c r="M413" s="4"/>
      <c r="N413" s="4"/>
      <c r="O413" s="4"/>
      <c r="P413" s="5"/>
    </row>
    <row r="414" spans="4:16" ht="15.75" customHeight="1">
      <c r="D414" s="4"/>
      <c r="E414" s="4"/>
      <c r="F414" s="4"/>
      <c r="G414" s="49"/>
      <c r="H414" s="4"/>
      <c r="I414" s="4"/>
      <c r="J414" s="4"/>
      <c r="K414" s="4"/>
      <c r="L414" s="4"/>
      <c r="M414" s="4"/>
      <c r="N414" s="4"/>
      <c r="O414" s="4"/>
      <c r="P414" s="5"/>
    </row>
    <row r="415" spans="4:16" ht="15.75" customHeight="1">
      <c r="D415" s="4"/>
      <c r="E415" s="4"/>
      <c r="F415" s="4"/>
      <c r="G415" s="49"/>
      <c r="H415" s="4"/>
      <c r="I415" s="4"/>
      <c r="J415" s="4"/>
      <c r="K415" s="4"/>
      <c r="L415" s="4"/>
      <c r="M415" s="4"/>
      <c r="N415" s="4"/>
      <c r="O415" s="4"/>
      <c r="P415" s="5"/>
    </row>
    <row r="416" spans="4:16" ht="15.75" customHeight="1">
      <c r="D416" s="4"/>
      <c r="E416" s="4"/>
      <c r="F416" s="4"/>
      <c r="G416" s="49"/>
      <c r="H416" s="4"/>
      <c r="I416" s="4"/>
      <c r="J416" s="4"/>
      <c r="K416" s="4"/>
      <c r="L416" s="4"/>
      <c r="M416" s="4"/>
      <c r="N416" s="4"/>
      <c r="O416" s="4"/>
      <c r="P416" s="5"/>
    </row>
    <row r="417" spans="4:16" ht="15.75" customHeight="1">
      <c r="D417" s="4"/>
      <c r="E417" s="4"/>
      <c r="F417" s="4"/>
      <c r="G417" s="49"/>
      <c r="H417" s="4"/>
      <c r="I417" s="4"/>
      <c r="J417" s="4"/>
      <c r="K417" s="4"/>
      <c r="L417" s="4"/>
      <c r="M417" s="4"/>
      <c r="N417" s="4"/>
      <c r="O417" s="4"/>
      <c r="P417" s="5"/>
    </row>
    <row r="418" spans="4:16" ht="15.75" customHeight="1">
      <c r="D418" s="4"/>
      <c r="E418" s="4"/>
      <c r="F418" s="4"/>
      <c r="G418" s="49"/>
      <c r="H418" s="4"/>
      <c r="I418" s="4"/>
      <c r="J418" s="4"/>
      <c r="K418" s="4"/>
      <c r="L418" s="4"/>
      <c r="M418" s="4"/>
      <c r="N418" s="4"/>
      <c r="O418" s="4"/>
      <c r="P418" s="5"/>
    </row>
    <row r="419" spans="4:16" ht="15.75" customHeight="1">
      <c r="D419" s="4"/>
      <c r="E419" s="4"/>
      <c r="F419" s="4"/>
      <c r="G419" s="49"/>
      <c r="H419" s="4"/>
      <c r="I419" s="4"/>
      <c r="J419" s="4"/>
      <c r="K419" s="4"/>
      <c r="L419" s="4"/>
      <c r="M419" s="4"/>
      <c r="N419" s="4"/>
      <c r="O419" s="4"/>
      <c r="P419" s="5"/>
    </row>
    <row r="420" spans="4:16" ht="15.75" customHeight="1">
      <c r="D420" s="4"/>
      <c r="E420" s="4"/>
      <c r="F420" s="4"/>
      <c r="G420" s="49"/>
      <c r="H420" s="4"/>
      <c r="I420" s="4"/>
      <c r="J420" s="4"/>
      <c r="K420" s="4"/>
      <c r="L420" s="4"/>
      <c r="M420" s="4"/>
      <c r="N420" s="4"/>
      <c r="O420" s="4"/>
      <c r="P420" s="5"/>
    </row>
    <row r="421" spans="4:16" ht="15.75" customHeight="1">
      <c r="D421" s="4"/>
      <c r="E421" s="4"/>
      <c r="F421" s="4"/>
      <c r="G421" s="49"/>
      <c r="H421" s="4"/>
      <c r="I421" s="4"/>
      <c r="J421" s="4"/>
      <c r="K421" s="4"/>
      <c r="L421" s="4"/>
      <c r="M421" s="4"/>
      <c r="N421" s="4"/>
      <c r="O421" s="4"/>
      <c r="P421" s="5"/>
    </row>
    <row r="422" spans="4:16" ht="15.75" customHeight="1">
      <c r="D422" s="4"/>
      <c r="E422" s="4"/>
      <c r="F422" s="4"/>
      <c r="G422" s="49"/>
      <c r="H422" s="4"/>
      <c r="I422" s="4"/>
      <c r="J422" s="4"/>
      <c r="K422" s="4"/>
      <c r="L422" s="4"/>
      <c r="M422" s="4"/>
      <c r="N422" s="4"/>
      <c r="O422" s="4"/>
      <c r="P422" s="5"/>
    </row>
    <row r="423" spans="4:16" ht="15.75" customHeight="1">
      <c r="D423" s="4"/>
      <c r="E423" s="4"/>
      <c r="F423" s="4"/>
      <c r="G423" s="49"/>
      <c r="H423" s="4"/>
      <c r="I423" s="4"/>
      <c r="J423" s="4"/>
      <c r="K423" s="4"/>
      <c r="L423" s="4"/>
      <c r="M423" s="4"/>
      <c r="N423" s="4"/>
      <c r="O423" s="4"/>
      <c r="P423" s="5"/>
    </row>
    <row r="424" spans="4:16" ht="15.75" customHeight="1">
      <c r="D424" s="4"/>
      <c r="E424" s="4"/>
      <c r="F424" s="4"/>
      <c r="G424" s="49"/>
      <c r="H424" s="4"/>
      <c r="I424" s="4"/>
      <c r="J424" s="4"/>
      <c r="K424" s="4"/>
      <c r="L424" s="4"/>
      <c r="M424" s="4"/>
      <c r="N424" s="4"/>
      <c r="O424" s="4"/>
      <c r="P424" s="5"/>
    </row>
    <row r="425" spans="4:16" ht="15.75" customHeight="1">
      <c r="D425" s="4"/>
      <c r="E425" s="4"/>
      <c r="F425" s="4"/>
      <c r="G425" s="49"/>
      <c r="H425" s="4"/>
      <c r="I425" s="4"/>
      <c r="J425" s="4"/>
      <c r="K425" s="4"/>
      <c r="L425" s="4"/>
      <c r="M425" s="4"/>
      <c r="N425" s="4"/>
      <c r="O425" s="4"/>
      <c r="P425" s="5"/>
    </row>
    <row r="426" spans="4:16" ht="15.75" customHeight="1">
      <c r="D426" s="4"/>
      <c r="E426" s="4"/>
      <c r="F426" s="4"/>
      <c r="G426" s="49"/>
      <c r="H426" s="4"/>
      <c r="I426" s="4"/>
      <c r="J426" s="4"/>
      <c r="K426" s="4"/>
      <c r="L426" s="4"/>
      <c r="M426" s="4"/>
      <c r="N426" s="4"/>
      <c r="O426" s="4"/>
      <c r="P426" s="5"/>
    </row>
    <row r="427" spans="4:16" ht="15.75" customHeight="1">
      <c r="D427" s="4"/>
      <c r="E427" s="4"/>
      <c r="F427" s="4"/>
      <c r="G427" s="49"/>
      <c r="H427" s="4"/>
      <c r="I427" s="4"/>
      <c r="J427" s="4"/>
      <c r="K427" s="4"/>
      <c r="L427" s="4"/>
      <c r="M427" s="4"/>
      <c r="N427" s="4"/>
      <c r="O427" s="4"/>
      <c r="P427" s="5"/>
    </row>
    <row r="428" spans="4:16" ht="15.75" customHeight="1">
      <c r="D428" s="4"/>
      <c r="E428" s="4"/>
      <c r="F428" s="4"/>
      <c r="G428" s="49"/>
      <c r="H428" s="4"/>
      <c r="I428" s="4"/>
      <c r="J428" s="4"/>
      <c r="K428" s="4"/>
      <c r="L428" s="4"/>
      <c r="M428" s="4"/>
      <c r="N428" s="4"/>
      <c r="O428" s="4"/>
      <c r="P428" s="5"/>
    </row>
    <row r="429" spans="4:16" ht="15.75" customHeight="1">
      <c r="D429" s="4"/>
      <c r="E429" s="4"/>
      <c r="F429" s="4"/>
      <c r="G429" s="49"/>
      <c r="H429" s="4"/>
      <c r="I429" s="4"/>
      <c r="J429" s="4"/>
      <c r="K429" s="4"/>
      <c r="L429" s="4"/>
      <c r="M429" s="4"/>
      <c r="N429" s="4"/>
      <c r="O429" s="4"/>
      <c r="P429" s="5"/>
    </row>
    <row r="430" spans="4:16" ht="15.75" customHeight="1">
      <c r="D430" s="4"/>
      <c r="E430" s="4"/>
      <c r="F430" s="4"/>
      <c r="G430" s="49"/>
      <c r="H430" s="4"/>
      <c r="I430" s="4"/>
      <c r="J430" s="4"/>
      <c r="K430" s="4"/>
      <c r="L430" s="4"/>
      <c r="M430" s="4"/>
      <c r="N430" s="4"/>
      <c r="O430" s="4"/>
      <c r="P430" s="5"/>
    </row>
    <row r="431" spans="4:16" ht="15.75" customHeight="1">
      <c r="D431" s="4"/>
      <c r="E431" s="4"/>
      <c r="F431" s="4"/>
      <c r="G431" s="49"/>
      <c r="H431" s="4"/>
      <c r="I431" s="4"/>
      <c r="J431" s="4"/>
      <c r="K431" s="4"/>
      <c r="L431" s="4"/>
      <c r="M431" s="4"/>
      <c r="N431" s="4"/>
      <c r="O431" s="4"/>
      <c r="P431" s="5"/>
    </row>
    <row r="432" spans="4:16" ht="15.75" customHeight="1">
      <c r="D432" s="4"/>
      <c r="E432" s="4"/>
      <c r="F432" s="4"/>
      <c r="G432" s="49"/>
      <c r="H432" s="4"/>
      <c r="I432" s="4"/>
      <c r="J432" s="4"/>
      <c r="K432" s="4"/>
      <c r="L432" s="4"/>
      <c r="M432" s="4"/>
      <c r="N432" s="4"/>
      <c r="O432" s="4"/>
      <c r="P432" s="5"/>
    </row>
    <row r="433" spans="4:16" ht="15.75" customHeight="1">
      <c r="D433" s="4"/>
      <c r="E433" s="4"/>
      <c r="F433" s="4"/>
      <c r="G433" s="49"/>
      <c r="H433" s="4"/>
      <c r="I433" s="4"/>
      <c r="J433" s="4"/>
      <c r="K433" s="4"/>
      <c r="L433" s="4"/>
      <c r="M433" s="4"/>
      <c r="N433" s="4"/>
      <c r="O433" s="4"/>
      <c r="P433" s="5"/>
    </row>
    <row r="434" spans="4:16" ht="15.75" customHeight="1">
      <c r="D434" s="4"/>
      <c r="E434" s="4"/>
      <c r="F434" s="4"/>
      <c r="G434" s="49"/>
      <c r="H434" s="4"/>
      <c r="I434" s="4"/>
      <c r="J434" s="4"/>
      <c r="K434" s="4"/>
      <c r="L434" s="4"/>
      <c r="M434" s="4"/>
      <c r="N434" s="4"/>
      <c r="O434" s="4"/>
      <c r="P434" s="5"/>
    </row>
    <row r="435" spans="4:16" ht="15.75" customHeight="1">
      <c r="D435" s="4"/>
      <c r="E435" s="4"/>
      <c r="F435" s="4"/>
      <c r="G435" s="49"/>
      <c r="H435" s="4"/>
      <c r="I435" s="4"/>
      <c r="J435" s="4"/>
      <c r="K435" s="4"/>
      <c r="L435" s="4"/>
      <c r="M435" s="4"/>
      <c r="N435" s="4"/>
      <c r="O435" s="4"/>
      <c r="P435" s="5"/>
    </row>
    <row r="436" spans="4:16" ht="15.75" customHeight="1">
      <c r="D436" s="4"/>
      <c r="E436" s="4"/>
      <c r="F436" s="4"/>
      <c r="G436" s="49"/>
      <c r="H436" s="4"/>
      <c r="I436" s="4"/>
      <c r="J436" s="4"/>
      <c r="K436" s="4"/>
      <c r="L436" s="4"/>
      <c r="M436" s="4"/>
      <c r="N436" s="4"/>
      <c r="O436" s="4"/>
      <c r="P436" s="5"/>
    </row>
    <row r="437" spans="4:16" ht="15.75" customHeight="1">
      <c r="D437" s="4"/>
      <c r="E437" s="4"/>
      <c r="F437" s="4"/>
      <c r="G437" s="49"/>
      <c r="H437" s="4"/>
      <c r="I437" s="4"/>
      <c r="J437" s="4"/>
      <c r="K437" s="4"/>
      <c r="L437" s="4"/>
      <c r="M437" s="4"/>
      <c r="N437" s="4"/>
      <c r="O437" s="4"/>
      <c r="P437" s="5"/>
    </row>
    <row r="438" spans="4:16" ht="15.75" customHeight="1">
      <c r="D438" s="4"/>
      <c r="E438" s="4"/>
      <c r="F438" s="4"/>
      <c r="G438" s="49"/>
      <c r="H438" s="4"/>
      <c r="I438" s="4"/>
      <c r="J438" s="4"/>
      <c r="K438" s="4"/>
      <c r="L438" s="4"/>
      <c r="M438" s="4"/>
      <c r="N438" s="4"/>
      <c r="O438" s="4"/>
      <c r="P438" s="5"/>
    </row>
    <row r="439" spans="4:16" ht="15.75" customHeight="1">
      <c r="D439" s="4"/>
      <c r="E439" s="4"/>
      <c r="F439" s="4"/>
      <c r="G439" s="49"/>
      <c r="H439" s="4"/>
      <c r="I439" s="4"/>
      <c r="J439" s="4"/>
      <c r="K439" s="4"/>
      <c r="L439" s="4"/>
      <c r="M439" s="4"/>
      <c r="N439" s="4"/>
      <c r="O439" s="4"/>
      <c r="P439" s="5"/>
    </row>
    <row r="440" spans="4:16" ht="15.75" customHeight="1">
      <c r="D440" s="4"/>
      <c r="E440" s="4"/>
      <c r="F440" s="4"/>
      <c r="G440" s="49"/>
      <c r="H440" s="4"/>
      <c r="I440" s="4"/>
      <c r="J440" s="4"/>
      <c r="K440" s="4"/>
      <c r="L440" s="4"/>
      <c r="M440" s="4"/>
      <c r="N440" s="4"/>
      <c r="O440" s="4"/>
      <c r="P440" s="5"/>
    </row>
    <row r="441" spans="4:16" ht="15.75" customHeight="1">
      <c r="D441" s="4"/>
      <c r="E441" s="4"/>
      <c r="F441" s="4"/>
      <c r="G441" s="49"/>
      <c r="H441" s="4"/>
      <c r="I441" s="4"/>
      <c r="J441" s="4"/>
      <c r="K441" s="4"/>
      <c r="L441" s="4"/>
      <c r="M441" s="4"/>
      <c r="N441" s="4"/>
      <c r="O441" s="4"/>
      <c r="P441" s="5"/>
    </row>
    <row r="442" spans="4:16" ht="15.75" customHeight="1">
      <c r="D442" s="4"/>
      <c r="E442" s="4"/>
      <c r="F442" s="4"/>
      <c r="G442" s="49"/>
      <c r="H442" s="4"/>
      <c r="I442" s="4"/>
      <c r="J442" s="4"/>
      <c r="K442" s="4"/>
      <c r="L442" s="4"/>
      <c r="M442" s="4"/>
      <c r="N442" s="4"/>
      <c r="O442" s="4"/>
      <c r="P442" s="5"/>
    </row>
    <row r="443" spans="4:16" ht="15.75" customHeight="1">
      <c r="D443" s="4"/>
      <c r="E443" s="4"/>
      <c r="F443" s="4"/>
      <c r="G443" s="49"/>
      <c r="H443" s="4"/>
      <c r="I443" s="4"/>
      <c r="J443" s="4"/>
      <c r="K443" s="4"/>
      <c r="L443" s="4"/>
      <c r="M443" s="4"/>
      <c r="N443" s="4"/>
      <c r="O443" s="4"/>
      <c r="P443" s="5"/>
    </row>
    <row r="444" spans="4:16" ht="15.75" customHeight="1">
      <c r="D444" s="4"/>
      <c r="E444" s="4"/>
      <c r="F444" s="4"/>
      <c r="G444" s="49"/>
      <c r="H444" s="4"/>
      <c r="I444" s="4"/>
      <c r="J444" s="4"/>
      <c r="K444" s="4"/>
      <c r="L444" s="4"/>
      <c r="M444" s="4"/>
      <c r="N444" s="4"/>
      <c r="O444" s="4"/>
      <c r="P444" s="5"/>
    </row>
    <row r="445" spans="4:16" ht="15.75" customHeight="1">
      <c r="D445" s="4"/>
      <c r="E445" s="4"/>
      <c r="F445" s="4"/>
      <c r="G445" s="49"/>
      <c r="H445" s="4"/>
      <c r="I445" s="4"/>
      <c r="J445" s="4"/>
      <c r="K445" s="4"/>
      <c r="L445" s="4"/>
      <c r="M445" s="4"/>
      <c r="N445" s="4"/>
      <c r="O445" s="4"/>
      <c r="P445" s="5"/>
    </row>
    <row r="446" spans="4:16" ht="15.75" customHeight="1">
      <c r="D446" s="4"/>
      <c r="E446" s="4"/>
      <c r="F446" s="4"/>
      <c r="G446" s="49"/>
      <c r="H446" s="4"/>
      <c r="I446" s="4"/>
      <c r="J446" s="4"/>
      <c r="K446" s="4"/>
      <c r="L446" s="4"/>
      <c r="M446" s="4"/>
      <c r="N446" s="4"/>
      <c r="O446" s="4"/>
      <c r="P446" s="5"/>
    </row>
    <row r="447" spans="4:16" ht="15.75" customHeight="1">
      <c r="D447" s="4"/>
      <c r="E447" s="4"/>
      <c r="F447" s="4"/>
      <c r="G447" s="49"/>
      <c r="H447" s="4"/>
      <c r="I447" s="4"/>
      <c r="J447" s="4"/>
      <c r="K447" s="4"/>
      <c r="L447" s="4"/>
      <c r="M447" s="4"/>
      <c r="N447" s="4"/>
      <c r="O447" s="4"/>
      <c r="P447" s="5"/>
    </row>
    <row r="448" spans="4:16" ht="15.75" customHeight="1">
      <c r="D448" s="4"/>
      <c r="E448" s="4"/>
      <c r="F448" s="4"/>
      <c r="G448" s="49"/>
      <c r="H448" s="4"/>
      <c r="I448" s="4"/>
      <c r="J448" s="4"/>
      <c r="K448" s="4"/>
      <c r="L448" s="4"/>
      <c r="M448" s="4"/>
      <c r="N448" s="4"/>
      <c r="O448" s="4"/>
      <c r="P448" s="5"/>
    </row>
    <row r="449" spans="4:16" ht="15.75" customHeight="1">
      <c r="D449" s="4"/>
      <c r="E449" s="4"/>
      <c r="F449" s="4"/>
      <c r="G449" s="49"/>
      <c r="H449" s="4"/>
      <c r="I449" s="4"/>
      <c r="J449" s="4"/>
      <c r="K449" s="4"/>
      <c r="L449" s="4"/>
      <c r="M449" s="4"/>
      <c r="N449" s="4"/>
      <c r="O449" s="4"/>
      <c r="P449" s="5"/>
    </row>
    <row r="450" spans="4:16" ht="15.75" customHeight="1">
      <c r="D450" s="4"/>
      <c r="E450" s="4"/>
      <c r="F450" s="4"/>
      <c r="G450" s="49"/>
      <c r="H450" s="4"/>
      <c r="I450" s="4"/>
      <c r="J450" s="4"/>
      <c r="K450" s="4"/>
      <c r="L450" s="4"/>
      <c r="M450" s="4"/>
      <c r="N450" s="4"/>
      <c r="O450" s="4"/>
      <c r="P450" s="5"/>
    </row>
    <row r="451" spans="4:16" ht="15.75" customHeight="1">
      <c r="D451" s="4"/>
      <c r="E451" s="4"/>
      <c r="F451" s="4"/>
      <c r="G451" s="49"/>
      <c r="H451" s="4"/>
      <c r="I451" s="4"/>
      <c r="J451" s="4"/>
      <c r="K451" s="4"/>
      <c r="L451" s="4"/>
      <c r="M451" s="4"/>
      <c r="N451" s="4"/>
      <c r="O451" s="4"/>
      <c r="P451" s="5"/>
    </row>
    <row r="452" spans="4:16" ht="15.75" customHeight="1">
      <c r="D452" s="4"/>
      <c r="E452" s="4"/>
      <c r="F452" s="4"/>
      <c r="G452" s="49"/>
      <c r="H452" s="4"/>
      <c r="I452" s="4"/>
      <c r="J452" s="4"/>
      <c r="K452" s="4"/>
      <c r="L452" s="4"/>
      <c r="M452" s="4"/>
      <c r="N452" s="4"/>
      <c r="O452" s="4"/>
      <c r="P452" s="5"/>
    </row>
    <row r="453" spans="4:16" ht="15.75" customHeight="1">
      <c r="D453" s="4"/>
      <c r="E453" s="4"/>
      <c r="F453" s="4"/>
      <c r="G453" s="49"/>
      <c r="H453" s="4"/>
      <c r="I453" s="4"/>
      <c r="J453" s="4"/>
      <c r="K453" s="4"/>
      <c r="L453" s="4"/>
      <c r="M453" s="4"/>
      <c r="N453" s="4"/>
      <c r="O453" s="4"/>
      <c r="P453" s="5"/>
    </row>
    <row r="454" spans="4:16" ht="15.75" customHeight="1">
      <c r="D454" s="4"/>
      <c r="E454" s="4"/>
      <c r="F454" s="4"/>
      <c r="G454" s="49"/>
      <c r="H454" s="4"/>
      <c r="I454" s="4"/>
      <c r="J454" s="4"/>
      <c r="K454" s="4"/>
      <c r="L454" s="4"/>
      <c r="M454" s="4"/>
      <c r="N454" s="4"/>
      <c r="O454" s="4"/>
      <c r="P454" s="5"/>
    </row>
    <row r="455" spans="4:16" ht="15.75" customHeight="1">
      <c r="D455" s="4"/>
      <c r="E455" s="4"/>
      <c r="F455" s="4"/>
      <c r="G455" s="49"/>
      <c r="H455" s="4"/>
      <c r="I455" s="4"/>
      <c r="J455" s="4"/>
      <c r="K455" s="4"/>
      <c r="L455" s="4"/>
      <c r="M455" s="4"/>
      <c r="N455" s="4"/>
      <c r="O455" s="4"/>
      <c r="P455" s="5"/>
    </row>
    <row r="456" spans="4:16" ht="15.75" customHeight="1">
      <c r="D456" s="4"/>
      <c r="E456" s="4"/>
      <c r="F456" s="4"/>
      <c r="G456" s="49"/>
      <c r="H456" s="4"/>
      <c r="I456" s="4"/>
      <c r="J456" s="4"/>
      <c r="K456" s="4"/>
      <c r="L456" s="4"/>
      <c r="M456" s="4"/>
      <c r="N456" s="4"/>
      <c r="O456" s="4"/>
      <c r="P456" s="5"/>
    </row>
    <row r="457" spans="4:16" ht="15.75" customHeight="1">
      <c r="D457" s="4"/>
      <c r="E457" s="4"/>
      <c r="F457" s="4"/>
      <c r="G457" s="49"/>
      <c r="H457" s="4"/>
      <c r="I457" s="4"/>
      <c r="J457" s="4"/>
      <c r="K457" s="4"/>
      <c r="L457" s="4"/>
      <c r="M457" s="4"/>
      <c r="N457" s="4"/>
      <c r="O457" s="4"/>
      <c r="P457" s="5"/>
    </row>
    <row r="458" spans="4:16" ht="15.75" customHeight="1">
      <c r="D458" s="4"/>
      <c r="E458" s="4"/>
      <c r="F458" s="4"/>
      <c r="G458" s="49"/>
      <c r="H458" s="4"/>
      <c r="I458" s="4"/>
      <c r="J458" s="4"/>
      <c r="K458" s="4"/>
      <c r="L458" s="4"/>
      <c r="M458" s="4"/>
      <c r="N458" s="4"/>
      <c r="O458" s="4"/>
      <c r="P458" s="5"/>
    </row>
    <row r="459" spans="4:16" ht="15.75" customHeight="1">
      <c r="D459" s="4"/>
      <c r="E459" s="4"/>
      <c r="F459" s="4"/>
      <c r="G459" s="49"/>
      <c r="H459" s="4"/>
      <c r="I459" s="4"/>
      <c r="J459" s="4"/>
      <c r="K459" s="4"/>
      <c r="L459" s="4"/>
      <c r="M459" s="4"/>
      <c r="N459" s="4"/>
      <c r="O459" s="4"/>
      <c r="P459" s="5"/>
    </row>
    <row r="460" spans="4:16" ht="15.75" customHeight="1">
      <c r="D460" s="4"/>
      <c r="E460" s="4"/>
      <c r="F460" s="4"/>
      <c r="G460" s="49"/>
      <c r="H460" s="4"/>
      <c r="I460" s="4"/>
      <c r="J460" s="4"/>
      <c r="K460" s="4"/>
      <c r="L460" s="4"/>
      <c r="M460" s="4"/>
      <c r="N460" s="4"/>
      <c r="O460" s="4"/>
      <c r="P460" s="5"/>
    </row>
    <row r="461" spans="4:16" ht="15.75" customHeight="1">
      <c r="D461" s="4"/>
      <c r="E461" s="4"/>
      <c r="F461" s="4"/>
      <c r="G461" s="49"/>
      <c r="H461" s="4"/>
      <c r="I461" s="4"/>
      <c r="J461" s="4"/>
      <c r="K461" s="4"/>
      <c r="L461" s="4"/>
      <c r="M461" s="4"/>
      <c r="N461" s="4"/>
      <c r="O461" s="4"/>
      <c r="P461" s="5"/>
    </row>
    <row r="462" spans="4:16" ht="15.75" customHeight="1">
      <c r="D462" s="4"/>
      <c r="E462" s="4"/>
      <c r="F462" s="4"/>
      <c r="G462" s="49"/>
      <c r="H462" s="4"/>
      <c r="I462" s="4"/>
      <c r="J462" s="4"/>
      <c r="K462" s="4"/>
      <c r="L462" s="4"/>
      <c r="M462" s="4"/>
      <c r="N462" s="4"/>
      <c r="O462" s="4"/>
      <c r="P462" s="5"/>
    </row>
    <row r="463" spans="4:16" ht="15.75" customHeight="1">
      <c r="D463" s="4"/>
      <c r="E463" s="4"/>
      <c r="F463" s="4"/>
      <c r="G463" s="49"/>
      <c r="H463" s="4"/>
      <c r="I463" s="4"/>
      <c r="J463" s="4"/>
      <c r="K463" s="4"/>
      <c r="L463" s="4"/>
      <c r="M463" s="4"/>
      <c r="N463" s="4"/>
      <c r="O463" s="4"/>
      <c r="P463" s="5"/>
    </row>
    <row r="464" spans="4:16" ht="15.75" customHeight="1">
      <c r="D464" s="4"/>
      <c r="E464" s="4"/>
      <c r="F464" s="4"/>
      <c r="G464" s="49"/>
      <c r="H464" s="4"/>
      <c r="I464" s="4"/>
      <c r="J464" s="4"/>
      <c r="K464" s="4"/>
      <c r="L464" s="4"/>
      <c r="M464" s="4"/>
      <c r="N464" s="4"/>
      <c r="O464" s="4"/>
      <c r="P464" s="5"/>
    </row>
    <row r="465" spans="4:16" ht="15.75" customHeight="1">
      <c r="D465" s="4"/>
      <c r="E465" s="4"/>
      <c r="F465" s="4"/>
      <c r="G465" s="49"/>
      <c r="H465" s="4"/>
      <c r="I465" s="4"/>
      <c r="J465" s="4"/>
      <c r="K465" s="4"/>
      <c r="L465" s="4"/>
      <c r="M465" s="4"/>
      <c r="N465" s="4"/>
      <c r="O465" s="4"/>
      <c r="P465" s="5"/>
    </row>
    <row r="466" spans="4:16" ht="15.75" customHeight="1">
      <c r="D466" s="4"/>
      <c r="E466" s="4"/>
      <c r="F466" s="4"/>
      <c r="G466" s="49"/>
      <c r="H466" s="4"/>
      <c r="I466" s="4"/>
      <c r="J466" s="4"/>
      <c r="K466" s="4"/>
      <c r="L466" s="4"/>
      <c r="M466" s="4"/>
      <c r="N466" s="4"/>
      <c r="O466" s="4"/>
      <c r="P466" s="5"/>
    </row>
    <row r="467" spans="4:16" ht="15.75" customHeight="1">
      <c r="D467" s="4"/>
      <c r="E467" s="4"/>
      <c r="F467" s="4"/>
      <c r="G467" s="49"/>
      <c r="H467" s="4"/>
      <c r="I467" s="4"/>
      <c r="J467" s="4"/>
      <c r="K467" s="4"/>
      <c r="L467" s="4"/>
      <c r="M467" s="4"/>
      <c r="N467" s="4"/>
      <c r="O467" s="4"/>
      <c r="P467" s="5"/>
    </row>
    <row r="468" spans="4:16" ht="15.75" customHeight="1">
      <c r="D468" s="4"/>
      <c r="E468" s="4"/>
      <c r="F468" s="4"/>
      <c r="G468" s="49"/>
      <c r="H468" s="4"/>
      <c r="I468" s="4"/>
      <c r="J468" s="4"/>
      <c r="K468" s="4"/>
      <c r="L468" s="4"/>
      <c r="M468" s="4"/>
      <c r="N468" s="4"/>
      <c r="O468" s="4"/>
      <c r="P468" s="5"/>
    </row>
    <row r="469" spans="4:16" ht="15.75" customHeight="1">
      <c r="D469" s="4"/>
      <c r="E469" s="4"/>
      <c r="F469" s="4"/>
      <c r="G469" s="49"/>
      <c r="H469" s="4"/>
      <c r="I469" s="4"/>
      <c r="J469" s="4"/>
      <c r="K469" s="4"/>
      <c r="L469" s="4"/>
      <c r="M469" s="4"/>
      <c r="N469" s="4"/>
      <c r="O469" s="4"/>
      <c r="P469" s="5"/>
    </row>
    <row r="470" spans="4:16" ht="15.75" customHeight="1">
      <c r="D470" s="4"/>
      <c r="E470" s="4"/>
      <c r="F470" s="4"/>
      <c r="G470" s="49"/>
      <c r="H470" s="4"/>
      <c r="I470" s="4"/>
      <c r="J470" s="4"/>
      <c r="K470" s="4"/>
      <c r="L470" s="4"/>
      <c r="M470" s="4"/>
      <c r="N470" s="4"/>
      <c r="O470" s="4"/>
      <c r="P470" s="5"/>
    </row>
    <row r="471" spans="4:16" ht="15.75" customHeight="1">
      <c r="D471" s="4"/>
      <c r="E471" s="4"/>
      <c r="F471" s="4"/>
      <c r="G471" s="49"/>
      <c r="H471" s="4"/>
      <c r="I471" s="4"/>
      <c r="J471" s="4"/>
      <c r="K471" s="4"/>
      <c r="L471" s="4"/>
      <c r="M471" s="4"/>
      <c r="N471" s="4"/>
      <c r="O471" s="4"/>
      <c r="P471" s="5"/>
    </row>
    <row r="472" spans="4:16" ht="15.75" customHeight="1">
      <c r="D472" s="4"/>
      <c r="E472" s="4"/>
      <c r="F472" s="4"/>
      <c r="G472" s="49"/>
      <c r="H472" s="4"/>
      <c r="I472" s="4"/>
      <c r="J472" s="4"/>
      <c r="K472" s="4"/>
      <c r="L472" s="4"/>
      <c r="M472" s="4"/>
      <c r="N472" s="4"/>
      <c r="O472" s="4"/>
      <c r="P472" s="5"/>
    </row>
    <row r="473" spans="4:16" ht="15.75" customHeight="1">
      <c r="D473" s="4"/>
      <c r="E473" s="4"/>
      <c r="F473" s="4"/>
      <c r="G473" s="49"/>
      <c r="H473" s="4"/>
      <c r="I473" s="4"/>
      <c r="J473" s="4"/>
      <c r="K473" s="4"/>
      <c r="L473" s="4"/>
      <c r="M473" s="4"/>
      <c r="N473" s="4"/>
      <c r="O473" s="4"/>
      <c r="P473" s="5"/>
    </row>
    <row r="474" spans="4:16" ht="15.75" customHeight="1">
      <c r="D474" s="4"/>
      <c r="E474" s="4"/>
      <c r="F474" s="4"/>
      <c r="G474" s="49"/>
      <c r="H474" s="4"/>
      <c r="I474" s="4"/>
      <c r="J474" s="4"/>
      <c r="K474" s="4"/>
      <c r="L474" s="4"/>
      <c r="M474" s="4"/>
      <c r="N474" s="4"/>
      <c r="O474" s="4"/>
      <c r="P474" s="5"/>
    </row>
    <row r="475" spans="4:16" ht="15.75" customHeight="1">
      <c r="D475" s="4"/>
      <c r="E475" s="4"/>
      <c r="F475" s="4"/>
      <c r="G475" s="49"/>
      <c r="H475" s="4"/>
      <c r="I475" s="4"/>
      <c r="J475" s="4"/>
      <c r="K475" s="4"/>
      <c r="L475" s="4"/>
      <c r="M475" s="4"/>
      <c r="N475" s="4"/>
      <c r="O475" s="4"/>
      <c r="P475" s="5"/>
    </row>
    <row r="476" spans="4:16" ht="15.75" customHeight="1">
      <c r="D476" s="4"/>
      <c r="E476" s="4"/>
      <c r="F476" s="4"/>
      <c r="G476" s="49"/>
      <c r="H476" s="4"/>
      <c r="I476" s="4"/>
      <c r="J476" s="4"/>
      <c r="K476" s="4"/>
      <c r="L476" s="4"/>
      <c r="M476" s="4"/>
      <c r="N476" s="4"/>
      <c r="O476" s="4"/>
      <c r="P476" s="5"/>
    </row>
    <row r="477" spans="4:16" ht="15.75" customHeight="1">
      <c r="D477" s="4"/>
      <c r="E477" s="4"/>
      <c r="F477" s="4"/>
      <c r="G477" s="49"/>
      <c r="H477" s="4"/>
      <c r="I477" s="4"/>
      <c r="J477" s="4"/>
      <c r="K477" s="4"/>
      <c r="L477" s="4"/>
      <c r="M477" s="4"/>
      <c r="N477" s="4"/>
      <c r="O477" s="4"/>
      <c r="P477" s="5"/>
    </row>
    <row r="478" spans="4:16" ht="15.75" customHeight="1">
      <c r="D478" s="4"/>
      <c r="E478" s="4"/>
      <c r="F478" s="4"/>
      <c r="G478" s="49"/>
      <c r="H478" s="4"/>
      <c r="I478" s="4"/>
      <c r="J478" s="4"/>
      <c r="K478" s="4"/>
      <c r="L478" s="4"/>
      <c r="M478" s="4"/>
      <c r="N478" s="4"/>
      <c r="O478" s="4"/>
      <c r="P478" s="5"/>
    </row>
    <row r="479" spans="4:16" ht="15.75" customHeight="1">
      <c r="D479" s="4"/>
      <c r="E479" s="4"/>
      <c r="F479" s="4"/>
      <c r="G479" s="49"/>
      <c r="H479" s="4"/>
      <c r="I479" s="4"/>
      <c r="J479" s="4"/>
      <c r="K479" s="4"/>
      <c r="L479" s="4"/>
      <c r="M479" s="4"/>
      <c r="N479" s="4"/>
      <c r="O479" s="4"/>
      <c r="P479" s="5"/>
    </row>
    <row r="480" spans="4:16" ht="15.75" customHeight="1">
      <c r="D480" s="4"/>
      <c r="E480" s="4"/>
      <c r="F480" s="4"/>
      <c r="G480" s="49"/>
      <c r="H480" s="4"/>
      <c r="I480" s="4"/>
      <c r="J480" s="4"/>
      <c r="K480" s="4"/>
      <c r="L480" s="4"/>
      <c r="M480" s="4"/>
      <c r="N480" s="4"/>
      <c r="O480" s="4"/>
      <c r="P480" s="5"/>
    </row>
    <row r="481" spans="4:16" ht="15.75" customHeight="1">
      <c r="D481" s="4"/>
      <c r="E481" s="4"/>
      <c r="F481" s="4"/>
      <c r="G481" s="49"/>
      <c r="H481" s="4"/>
      <c r="I481" s="4"/>
      <c r="J481" s="4"/>
      <c r="K481" s="4"/>
      <c r="L481" s="4"/>
      <c r="M481" s="4"/>
      <c r="N481" s="4"/>
      <c r="O481" s="4"/>
      <c r="P481" s="5"/>
    </row>
    <row r="482" spans="4:16" ht="15.75" customHeight="1">
      <c r="D482" s="4"/>
      <c r="E482" s="4"/>
      <c r="F482" s="4"/>
      <c r="G482" s="49"/>
      <c r="H482" s="4"/>
      <c r="I482" s="4"/>
      <c r="J482" s="4"/>
      <c r="K482" s="4"/>
      <c r="L482" s="4"/>
      <c r="M482" s="4"/>
      <c r="N482" s="4"/>
      <c r="O482" s="4"/>
      <c r="P482" s="5"/>
    </row>
    <row r="483" spans="4:16" ht="15.75" customHeight="1">
      <c r="D483" s="4"/>
      <c r="E483" s="4"/>
      <c r="F483" s="4"/>
      <c r="G483" s="49"/>
      <c r="H483" s="4"/>
      <c r="I483" s="4"/>
      <c r="J483" s="4"/>
      <c r="K483" s="4"/>
      <c r="L483" s="4"/>
      <c r="M483" s="4"/>
      <c r="N483" s="4"/>
      <c r="O483" s="4"/>
      <c r="P483" s="5"/>
    </row>
    <row r="484" spans="4:16" ht="15.75" customHeight="1">
      <c r="D484" s="4"/>
      <c r="E484" s="4"/>
      <c r="F484" s="4"/>
      <c r="G484" s="49"/>
      <c r="H484" s="4"/>
      <c r="I484" s="4"/>
      <c r="J484" s="4"/>
      <c r="K484" s="4"/>
      <c r="L484" s="4"/>
      <c r="M484" s="4"/>
      <c r="N484" s="4"/>
      <c r="O484" s="4"/>
      <c r="P484" s="5"/>
    </row>
    <row r="485" spans="4:16" ht="15.75" customHeight="1">
      <c r="D485" s="4"/>
      <c r="E485" s="4"/>
      <c r="F485" s="4"/>
      <c r="G485" s="49"/>
      <c r="H485" s="4"/>
      <c r="I485" s="4"/>
      <c r="J485" s="4"/>
      <c r="K485" s="4"/>
      <c r="L485" s="4"/>
      <c r="M485" s="4"/>
      <c r="N485" s="4"/>
      <c r="O485" s="4"/>
      <c r="P485" s="5"/>
    </row>
    <row r="486" spans="4:16" ht="15.75" customHeight="1">
      <c r="D486" s="4"/>
      <c r="E486" s="4"/>
      <c r="F486" s="4"/>
      <c r="G486" s="49"/>
      <c r="H486" s="4"/>
      <c r="I486" s="4"/>
      <c r="J486" s="4"/>
      <c r="K486" s="4"/>
      <c r="L486" s="4"/>
      <c r="M486" s="4"/>
      <c r="N486" s="4"/>
      <c r="O486" s="4"/>
      <c r="P486" s="5"/>
    </row>
    <row r="487" spans="4:16" ht="15.75" customHeight="1">
      <c r="D487" s="4"/>
      <c r="E487" s="4"/>
      <c r="F487" s="4"/>
      <c r="G487" s="49"/>
      <c r="H487" s="4"/>
      <c r="I487" s="4"/>
      <c r="J487" s="4"/>
      <c r="K487" s="4"/>
      <c r="L487" s="4"/>
      <c r="M487" s="4"/>
      <c r="N487" s="4"/>
      <c r="O487" s="4"/>
      <c r="P487" s="5"/>
    </row>
    <row r="488" spans="4:16" ht="15.75" customHeight="1">
      <c r="D488" s="4"/>
      <c r="E488" s="4"/>
      <c r="F488" s="4"/>
      <c r="G488" s="49"/>
      <c r="H488" s="4"/>
      <c r="I488" s="4"/>
      <c r="J488" s="4"/>
      <c r="K488" s="4"/>
      <c r="L488" s="4"/>
      <c r="M488" s="4"/>
      <c r="N488" s="4"/>
      <c r="O488" s="4"/>
      <c r="P488" s="5"/>
    </row>
    <row r="489" spans="4:16" ht="15.75" customHeight="1">
      <c r="D489" s="4"/>
      <c r="E489" s="4"/>
      <c r="F489" s="4"/>
      <c r="G489" s="49"/>
      <c r="H489" s="4"/>
      <c r="I489" s="4"/>
      <c r="J489" s="4"/>
      <c r="K489" s="4"/>
      <c r="L489" s="4"/>
      <c r="M489" s="4"/>
      <c r="N489" s="4"/>
      <c r="O489" s="4"/>
      <c r="P489" s="5"/>
    </row>
    <row r="490" spans="4:16" ht="15.75" customHeight="1">
      <c r="D490" s="4"/>
      <c r="E490" s="4"/>
      <c r="F490" s="4"/>
      <c r="G490" s="49"/>
      <c r="H490" s="4"/>
      <c r="I490" s="4"/>
      <c r="J490" s="4"/>
      <c r="K490" s="4"/>
      <c r="L490" s="4"/>
      <c r="M490" s="4"/>
      <c r="N490" s="4"/>
      <c r="O490" s="4"/>
      <c r="P490" s="5"/>
    </row>
    <row r="491" spans="4:16" ht="15.75" customHeight="1">
      <c r="D491" s="4"/>
      <c r="E491" s="4"/>
      <c r="F491" s="4"/>
      <c r="G491" s="49"/>
      <c r="H491" s="4"/>
      <c r="I491" s="4"/>
      <c r="J491" s="4"/>
      <c r="K491" s="4"/>
      <c r="L491" s="4"/>
      <c r="M491" s="4"/>
      <c r="N491" s="4"/>
      <c r="O491" s="4"/>
      <c r="P491" s="5"/>
    </row>
    <row r="492" spans="4:16" ht="15.75" customHeight="1">
      <c r="D492" s="4"/>
      <c r="E492" s="4"/>
      <c r="F492" s="4"/>
      <c r="G492" s="49"/>
      <c r="H492" s="4"/>
      <c r="I492" s="4"/>
      <c r="J492" s="4"/>
      <c r="K492" s="4"/>
      <c r="L492" s="4"/>
      <c r="M492" s="4"/>
      <c r="N492" s="4"/>
      <c r="O492" s="4"/>
      <c r="P492" s="5"/>
    </row>
    <row r="493" spans="4:16" ht="15.75" customHeight="1">
      <c r="D493" s="4"/>
      <c r="E493" s="4"/>
      <c r="F493" s="4"/>
      <c r="G493" s="49"/>
      <c r="H493" s="4"/>
      <c r="I493" s="4"/>
      <c r="J493" s="4"/>
      <c r="K493" s="4"/>
      <c r="L493" s="4"/>
      <c r="M493" s="4"/>
      <c r="N493" s="4"/>
      <c r="O493" s="4"/>
      <c r="P493" s="5"/>
    </row>
    <row r="494" spans="4:16" ht="15.75" customHeight="1">
      <c r="D494" s="4"/>
      <c r="E494" s="4"/>
      <c r="F494" s="4"/>
      <c r="G494" s="49"/>
      <c r="H494" s="4"/>
      <c r="I494" s="4"/>
      <c r="J494" s="4"/>
      <c r="K494" s="4"/>
      <c r="L494" s="4"/>
      <c r="M494" s="4"/>
      <c r="N494" s="4"/>
      <c r="O494" s="4"/>
      <c r="P494" s="5"/>
    </row>
    <row r="495" spans="4:16" ht="15.75" customHeight="1">
      <c r="D495" s="4"/>
      <c r="E495" s="4"/>
      <c r="F495" s="4"/>
      <c r="G495" s="49"/>
      <c r="H495" s="4"/>
      <c r="I495" s="4"/>
      <c r="J495" s="4"/>
      <c r="K495" s="4"/>
      <c r="L495" s="4"/>
      <c r="M495" s="4"/>
      <c r="N495" s="4"/>
      <c r="O495" s="4"/>
      <c r="P495" s="5"/>
    </row>
    <row r="496" spans="4:16" ht="15.75" customHeight="1">
      <c r="D496" s="4"/>
      <c r="E496" s="4"/>
      <c r="F496" s="4"/>
      <c r="G496" s="49"/>
      <c r="H496" s="4"/>
      <c r="I496" s="4"/>
      <c r="J496" s="4"/>
      <c r="K496" s="4"/>
      <c r="L496" s="4"/>
      <c r="M496" s="4"/>
      <c r="N496" s="4"/>
      <c r="O496" s="4"/>
      <c r="P496" s="5"/>
    </row>
    <row r="497" spans="4:16" ht="15.75" customHeight="1">
      <c r="D497" s="4"/>
      <c r="E497" s="4"/>
      <c r="F497" s="4"/>
      <c r="G497" s="49"/>
      <c r="H497" s="4"/>
      <c r="I497" s="4"/>
      <c r="J497" s="4"/>
      <c r="K497" s="4"/>
      <c r="L497" s="4"/>
      <c r="M497" s="4"/>
      <c r="N497" s="4"/>
      <c r="O497" s="4"/>
      <c r="P497" s="5"/>
    </row>
    <row r="498" spans="4:16" ht="15.75" customHeight="1">
      <c r="D498" s="4"/>
      <c r="E498" s="4"/>
      <c r="F498" s="4"/>
      <c r="G498" s="49"/>
      <c r="H498" s="4"/>
      <c r="I498" s="4"/>
      <c r="J498" s="4"/>
      <c r="K498" s="4"/>
      <c r="L498" s="4"/>
      <c r="M498" s="4"/>
      <c r="N498" s="4"/>
      <c r="O498" s="4"/>
      <c r="P498" s="5"/>
    </row>
    <row r="499" spans="4:16" ht="15.75" customHeight="1">
      <c r="D499" s="4"/>
      <c r="E499" s="4"/>
      <c r="F499" s="4"/>
      <c r="G499" s="49"/>
      <c r="H499" s="4"/>
      <c r="I499" s="4"/>
      <c r="J499" s="4"/>
      <c r="K499" s="4"/>
      <c r="L499" s="4"/>
      <c r="M499" s="4"/>
      <c r="N499" s="4"/>
      <c r="O499" s="4"/>
      <c r="P499" s="5"/>
    </row>
    <row r="500" spans="4:16" ht="15.75" customHeight="1">
      <c r="D500" s="4"/>
      <c r="E500" s="4"/>
      <c r="F500" s="4"/>
      <c r="G500" s="49"/>
      <c r="H500" s="4"/>
      <c r="I500" s="4"/>
      <c r="J500" s="4"/>
      <c r="K500" s="4"/>
      <c r="L500" s="4"/>
      <c r="M500" s="4"/>
      <c r="N500" s="4"/>
      <c r="O500" s="4"/>
      <c r="P500" s="5"/>
    </row>
    <row r="501" spans="4:16" ht="15.75" customHeight="1">
      <c r="D501" s="4"/>
      <c r="E501" s="4"/>
      <c r="F501" s="4"/>
      <c r="G501" s="49"/>
      <c r="H501" s="4"/>
      <c r="I501" s="4"/>
      <c r="J501" s="4"/>
      <c r="K501" s="4"/>
      <c r="L501" s="4"/>
      <c r="M501" s="4"/>
      <c r="N501" s="4"/>
      <c r="O501" s="4"/>
      <c r="P501" s="5"/>
    </row>
    <row r="502" spans="4:16" ht="15.75" customHeight="1">
      <c r="D502" s="4"/>
      <c r="E502" s="4"/>
      <c r="F502" s="4"/>
      <c r="G502" s="49"/>
      <c r="H502" s="4"/>
      <c r="I502" s="4"/>
      <c r="J502" s="4"/>
      <c r="K502" s="4"/>
      <c r="L502" s="4"/>
      <c r="M502" s="4"/>
      <c r="N502" s="4"/>
      <c r="O502" s="4"/>
      <c r="P502" s="5"/>
    </row>
    <row r="503" spans="4:16" ht="15.75" customHeight="1">
      <c r="D503" s="4"/>
      <c r="E503" s="4"/>
      <c r="F503" s="4"/>
      <c r="G503" s="49"/>
      <c r="H503" s="4"/>
      <c r="I503" s="4"/>
      <c r="J503" s="4"/>
      <c r="K503" s="4"/>
      <c r="L503" s="4"/>
      <c r="M503" s="4"/>
      <c r="N503" s="4"/>
      <c r="O503" s="4"/>
      <c r="P503" s="5"/>
    </row>
    <row r="504" spans="4:16" ht="15.75" customHeight="1">
      <c r="D504" s="4"/>
      <c r="E504" s="4"/>
      <c r="F504" s="4"/>
      <c r="G504" s="49"/>
      <c r="H504" s="4"/>
      <c r="I504" s="4"/>
      <c r="J504" s="4"/>
      <c r="K504" s="4"/>
      <c r="L504" s="4"/>
      <c r="M504" s="4"/>
      <c r="N504" s="4"/>
      <c r="O504" s="4"/>
      <c r="P504" s="5"/>
    </row>
    <row r="505" spans="4:16" ht="15.75" customHeight="1">
      <c r="D505" s="4"/>
      <c r="E505" s="4"/>
      <c r="F505" s="4"/>
      <c r="G505" s="49"/>
      <c r="H505" s="4"/>
      <c r="I505" s="4"/>
      <c r="J505" s="4"/>
      <c r="K505" s="4"/>
      <c r="L505" s="4"/>
      <c r="M505" s="4"/>
      <c r="N505" s="4"/>
      <c r="O505" s="4"/>
      <c r="P505" s="5"/>
    </row>
    <row r="506" spans="4:16" ht="15.75" customHeight="1">
      <c r="D506" s="4"/>
      <c r="E506" s="4"/>
      <c r="F506" s="4"/>
      <c r="G506" s="49"/>
      <c r="H506" s="4"/>
      <c r="I506" s="4"/>
      <c r="J506" s="4"/>
      <c r="K506" s="4"/>
      <c r="L506" s="4"/>
      <c r="M506" s="4"/>
      <c r="N506" s="4"/>
      <c r="O506" s="4"/>
      <c r="P506" s="5"/>
    </row>
    <row r="507" spans="4:16" ht="15.75" customHeight="1">
      <c r="D507" s="4"/>
      <c r="E507" s="4"/>
      <c r="F507" s="4"/>
      <c r="G507" s="49"/>
      <c r="H507" s="4"/>
      <c r="I507" s="4"/>
      <c r="J507" s="4"/>
      <c r="K507" s="4"/>
      <c r="L507" s="4"/>
      <c r="M507" s="4"/>
      <c r="N507" s="4"/>
      <c r="O507" s="4"/>
      <c r="P507" s="5"/>
    </row>
    <row r="508" spans="4:16" ht="15.75" customHeight="1">
      <c r="D508" s="4"/>
      <c r="E508" s="4"/>
      <c r="F508" s="4"/>
      <c r="G508" s="49"/>
      <c r="H508" s="4"/>
      <c r="I508" s="4"/>
      <c r="J508" s="4"/>
      <c r="K508" s="4"/>
      <c r="L508" s="4"/>
      <c r="M508" s="4"/>
      <c r="N508" s="4"/>
      <c r="O508" s="4"/>
      <c r="P508" s="5"/>
    </row>
    <row r="509" spans="4:16" ht="15.75" customHeight="1">
      <c r="D509" s="4"/>
      <c r="E509" s="4"/>
      <c r="F509" s="4"/>
      <c r="G509" s="49"/>
      <c r="H509" s="4"/>
      <c r="I509" s="4"/>
      <c r="J509" s="4"/>
      <c r="K509" s="4"/>
      <c r="L509" s="4"/>
      <c r="M509" s="4"/>
      <c r="N509" s="4"/>
      <c r="O509" s="4"/>
      <c r="P509" s="5"/>
    </row>
    <row r="510" spans="4:16" ht="15.75" customHeight="1">
      <c r="D510" s="4"/>
      <c r="E510" s="4"/>
      <c r="F510" s="4"/>
      <c r="G510" s="49"/>
      <c r="H510" s="4"/>
      <c r="I510" s="4"/>
      <c r="J510" s="4"/>
      <c r="K510" s="4"/>
      <c r="L510" s="4"/>
      <c r="M510" s="4"/>
      <c r="N510" s="4"/>
      <c r="O510" s="4"/>
      <c r="P510" s="5"/>
    </row>
    <row r="511" spans="4:16" ht="15.75" customHeight="1">
      <c r="D511" s="4"/>
      <c r="E511" s="4"/>
      <c r="F511" s="4"/>
      <c r="G511" s="49"/>
      <c r="H511" s="4"/>
      <c r="I511" s="4"/>
      <c r="J511" s="4"/>
      <c r="K511" s="4"/>
      <c r="L511" s="4"/>
      <c r="M511" s="4"/>
      <c r="N511" s="4"/>
      <c r="O511" s="4"/>
      <c r="P511" s="5"/>
    </row>
    <row r="512" spans="4:16" ht="15.75" customHeight="1">
      <c r="D512" s="4"/>
      <c r="E512" s="4"/>
      <c r="F512" s="4"/>
      <c r="G512" s="49"/>
      <c r="H512" s="4"/>
      <c r="I512" s="4"/>
      <c r="J512" s="4"/>
      <c r="K512" s="4"/>
      <c r="L512" s="4"/>
      <c r="M512" s="4"/>
      <c r="N512" s="4"/>
      <c r="O512" s="4"/>
      <c r="P512" s="5"/>
    </row>
    <row r="513" spans="4:16" ht="15.75" customHeight="1">
      <c r="D513" s="4"/>
      <c r="E513" s="4"/>
      <c r="F513" s="4"/>
      <c r="G513" s="49"/>
      <c r="H513" s="4"/>
      <c r="I513" s="4"/>
      <c r="J513" s="4"/>
      <c r="K513" s="4"/>
      <c r="L513" s="4"/>
      <c r="M513" s="4"/>
      <c r="N513" s="4"/>
      <c r="O513" s="4"/>
      <c r="P513" s="5"/>
    </row>
    <row r="514" spans="4:16" ht="15.75" customHeight="1">
      <c r="D514" s="4"/>
      <c r="E514" s="4"/>
      <c r="F514" s="4"/>
      <c r="G514" s="49"/>
      <c r="H514" s="4"/>
      <c r="I514" s="4"/>
      <c r="J514" s="4"/>
      <c r="K514" s="4"/>
      <c r="L514" s="4"/>
      <c r="M514" s="4"/>
      <c r="N514" s="4"/>
      <c r="O514" s="4"/>
      <c r="P514" s="5"/>
    </row>
    <row r="515" spans="4:16" ht="15.75" customHeight="1">
      <c r="D515" s="4"/>
      <c r="E515" s="4"/>
      <c r="F515" s="4"/>
      <c r="G515" s="49"/>
      <c r="H515" s="4"/>
      <c r="I515" s="4"/>
      <c r="J515" s="4"/>
      <c r="K515" s="4"/>
      <c r="L515" s="4"/>
      <c r="M515" s="4"/>
      <c r="N515" s="4"/>
      <c r="O515" s="4"/>
      <c r="P515" s="5"/>
    </row>
    <row r="516" spans="4:16" ht="15.75" customHeight="1">
      <c r="D516" s="4"/>
      <c r="E516" s="4"/>
      <c r="F516" s="4"/>
      <c r="G516" s="49"/>
      <c r="H516" s="4"/>
      <c r="I516" s="4"/>
      <c r="J516" s="4"/>
      <c r="K516" s="4"/>
      <c r="L516" s="4"/>
      <c r="M516" s="4"/>
      <c r="N516" s="4"/>
      <c r="O516" s="4"/>
      <c r="P516" s="5"/>
    </row>
    <row r="517" spans="4:16" ht="15.75" customHeight="1">
      <c r="D517" s="4"/>
      <c r="E517" s="4"/>
      <c r="F517" s="4"/>
      <c r="G517" s="49"/>
      <c r="H517" s="4"/>
      <c r="I517" s="4"/>
      <c r="J517" s="4"/>
      <c r="K517" s="4"/>
      <c r="L517" s="4"/>
      <c r="M517" s="4"/>
      <c r="N517" s="4"/>
      <c r="O517" s="4"/>
      <c r="P517" s="5"/>
    </row>
    <row r="518" spans="4:16" ht="15.75" customHeight="1">
      <c r="D518" s="4"/>
      <c r="E518" s="4"/>
      <c r="F518" s="4"/>
      <c r="G518" s="49"/>
      <c r="H518" s="4"/>
      <c r="I518" s="4"/>
      <c r="J518" s="4"/>
      <c r="K518" s="4"/>
      <c r="L518" s="4"/>
      <c r="M518" s="4"/>
      <c r="N518" s="4"/>
      <c r="O518" s="4"/>
      <c r="P518" s="5"/>
    </row>
    <row r="519" spans="4:16" ht="15.75" customHeight="1">
      <c r="D519" s="4"/>
      <c r="E519" s="4"/>
      <c r="F519" s="4"/>
      <c r="G519" s="49"/>
      <c r="H519" s="4"/>
      <c r="I519" s="4"/>
      <c r="J519" s="4"/>
      <c r="K519" s="4"/>
      <c r="L519" s="4"/>
      <c r="M519" s="4"/>
      <c r="N519" s="4"/>
      <c r="O519" s="4"/>
      <c r="P519" s="5"/>
    </row>
    <row r="520" spans="4:16" ht="15.75" customHeight="1">
      <c r="D520" s="4"/>
      <c r="E520" s="4"/>
      <c r="F520" s="4"/>
      <c r="G520" s="49"/>
      <c r="H520" s="4"/>
      <c r="I520" s="4"/>
      <c r="J520" s="4"/>
      <c r="K520" s="4"/>
      <c r="L520" s="4"/>
      <c r="M520" s="4"/>
      <c r="N520" s="4"/>
      <c r="O520" s="4"/>
      <c r="P520" s="5"/>
    </row>
    <row r="521" spans="4:16" ht="15.75" customHeight="1">
      <c r="D521" s="4"/>
      <c r="E521" s="4"/>
      <c r="F521" s="4"/>
      <c r="G521" s="49"/>
      <c r="H521" s="4"/>
      <c r="I521" s="4"/>
      <c r="J521" s="4"/>
      <c r="K521" s="4"/>
      <c r="L521" s="4"/>
      <c r="M521" s="4"/>
      <c r="N521" s="4"/>
      <c r="O521" s="4"/>
      <c r="P521" s="5"/>
    </row>
    <row r="522" spans="4:16" ht="15.75" customHeight="1">
      <c r="D522" s="4"/>
      <c r="E522" s="4"/>
      <c r="F522" s="4"/>
      <c r="G522" s="49"/>
      <c r="H522" s="4"/>
      <c r="I522" s="4"/>
      <c r="J522" s="4"/>
      <c r="K522" s="4"/>
      <c r="L522" s="4"/>
      <c r="M522" s="4"/>
      <c r="N522" s="4"/>
      <c r="O522" s="4"/>
      <c r="P522" s="5"/>
    </row>
    <row r="523" spans="4:16" ht="15.75" customHeight="1">
      <c r="D523" s="4"/>
      <c r="E523" s="4"/>
      <c r="F523" s="4"/>
      <c r="G523" s="49"/>
      <c r="H523" s="4"/>
      <c r="I523" s="4"/>
      <c r="J523" s="4"/>
      <c r="K523" s="4"/>
      <c r="L523" s="4"/>
      <c r="M523" s="4"/>
      <c r="N523" s="4"/>
      <c r="O523" s="4"/>
      <c r="P523" s="5"/>
    </row>
    <row r="524" spans="4:16" ht="15.75" customHeight="1">
      <c r="D524" s="4"/>
      <c r="E524" s="4"/>
      <c r="F524" s="4"/>
      <c r="G524" s="49"/>
      <c r="H524" s="4"/>
      <c r="I524" s="4"/>
      <c r="J524" s="4"/>
      <c r="K524" s="4"/>
      <c r="L524" s="4"/>
      <c r="M524" s="4"/>
      <c r="N524" s="4"/>
      <c r="O524" s="4"/>
      <c r="P524" s="5"/>
    </row>
    <row r="525" spans="4:16" ht="15.75" customHeight="1">
      <c r="D525" s="4"/>
      <c r="E525" s="4"/>
      <c r="F525" s="4"/>
      <c r="G525" s="49"/>
      <c r="H525" s="4"/>
      <c r="I525" s="4"/>
      <c r="J525" s="4"/>
      <c r="K525" s="4"/>
      <c r="L525" s="4"/>
      <c r="M525" s="4"/>
      <c r="N525" s="4"/>
      <c r="O525" s="4"/>
      <c r="P525" s="5"/>
    </row>
    <row r="526" spans="4:16" ht="15.75" customHeight="1">
      <c r="D526" s="4"/>
      <c r="E526" s="4"/>
      <c r="F526" s="4"/>
      <c r="G526" s="49"/>
      <c r="H526" s="4"/>
      <c r="I526" s="4"/>
      <c r="J526" s="4"/>
      <c r="K526" s="4"/>
      <c r="L526" s="4"/>
      <c r="M526" s="4"/>
      <c r="N526" s="4"/>
      <c r="O526" s="4"/>
      <c r="P526" s="5"/>
    </row>
    <row r="527" spans="4:16" ht="15.75" customHeight="1">
      <c r="D527" s="4"/>
      <c r="E527" s="4"/>
      <c r="F527" s="4"/>
      <c r="G527" s="49"/>
      <c r="H527" s="4"/>
      <c r="I527" s="4"/>
      <c r="J527" s="4"/>
      <c r="K527" s="4"/>
      <c r="L527" s="4"/>
      <c r="M527" s="4"/>
      <c r="N527" s="4"/>
      <c r="O527" s="4"/>
      <c r="P527" s="5"/>
    </row>
    <row r="528" spans="4:16" ht="15.75" customHeight="1">
      <c r="D528" s="4"/>
      <c r="E528" s="4"/>
      <c r="F528" s="4"/>
      <c r="G528" s="49"/>
      <c r="H528" s="4"/>
      <c r="I528" s="4"/>
      <c r="J528" s="4"/>
      <c r="K528" s="4"/>
      <c r="L528" s="4"/>
      <c r="M528" s="4"/>
      <c r="N528" s="4"/>
      <c r="O528" s="4"/>
      <c r="P528" s="5"/>
    </row>
    <row r="529" spans="4:16" ht="15.75" customHeight="1">
      <c r="D529" s="4"/>
      <c r="E529" s="4"/>
      <c r="F529" s="4"/>
      <c r="G529" s="49"/>
      <c r="H529" s="4"/>
      <c r="I529" s="4"/>
      <c r="J529" s="4"/>
      <c r="K529" s="4"/>
      <c r="L529" s="4"/>
      <c r="M529" s="4"/>
      <c r="N529" s="4"/>
      <c r="O529" s="4"/>
      <c r="P529" s="5"/>
    </row>
    <row r="530" spans="4:16" ht="15.75" customHeight="1">
      <c r="D530" s="4"/>
      <c r="E530" s="4"/>
      <c r="F530" s="4"/>
      <c r="G530" s="49"/>
      <c r="H530" s="4"/>
      <c r="I530" s="4"/>
      <c r="J530" s="4"/>
      <c r="K530" s="4"/>
      <c r="L530" s="4"/>
      <c r="M530" s="4"/>
      <c r="N530" s="4"/>
      <c r="O530" s="4"/>
      <c r="P530" s="5"/>
    </row>
    <row r="531" spans="4:16" ht="15.75" customHeight="1">
      <c r="D531" s="4"/>
      <c r="E531" s="4"/>
      <c r="F531" s="4"/>
      <c r="G531" s="49"/>
      <c r="H531" s="4"/>
      <c r="I531" s="4"/>
      <c r="J531" s="4"/>
      <c r="K531" s="4"/>
      <c r="L531" s="4"/>
      <c r="M531" s="4"/>
      <c r="N531" s="4"/>
      <c r="O531" s="4"/>
      <c r="P531" s="5"/>
    </row>
    <row r="532" spans="4:16" ht="15.75" customHeight="1">
      <c r="D532" s="4"/>
      <c r="E532" s="4"/>
      <c r="F532" s="4"/>
      <c r="G532" s="49"/>
      <c r="H532" s="4"/>
      <c r="I532" s="4"/>
      <c r="J532" s="4"/>
      <c r="K532" s="4"/>
      <c r="L532" s="4"/>
      <c r="M532" s="4"/>
      <c r="N532" s="4"/>
      <c r="O532" s="4"/>
      <c r="P532" s="5"/>
    </row>
    <row r="533" spans="4:16" ht="15.75" customHeight="1">
      <c r="D533" s="4"/>
      <c r="E533" s="4"/>
      <c r="F533" s="4"/>
      <c r="G533" s="49"/>
      <c r="H533" s="4"/>
      <c r="I533" s="4"/>
      <c r="J533" s="4"/>
      <c r="K533" s="4"/>
      <c r="L533" s="4"/>
      <c r="M533" s="4"/>
      <c r="N533" s="4"/>
      <c r="O533" s="4"/>
      <c r="P533" s="5"/>
    </row>
    <row r="534" spans="4:16" ht="15.75" customHeight="1">
      <c r="D534" s="4"/>
      <c r="E534" s="4"/>
      <c r="F534" s="4"/>
      <c r="G534" s="49"/>
      <c r="H534" s="4"/>
      <c r="I534" s="4"/>
      <c r="J534" s="4"/>
      <c r="K534" s="4"/>
      <c r="L534" s="4"/>
      <c r="M534" s="4"/>
      <c r="N534" s="4"/>
      <c r="O534" s="4"/>
      <c r="P534" s="5"/>
    </row>
    <row r="535" spans="4:16" ht="15.75" customHeight="1">
      <c r="D535" s="4"/>
      <c r="E535" s="4"/>
      <c r="F535" s="4"/>
      <c r="G535" s="49"/>
      <c r="H535" s="4"/>
      <c r="I535" s="4"/>
      <c r="J535" s="4"/>
      <c r="K535" s="4"/>
      <c r="L535" s="4"/>
      <c r="M535" s="4"/>
      <c r="N535" s="4"/>
      <c r="O535" s="4"/>
      <c r="P535" s="5"/>
    </row>
    <row r="536" spans="4:16" ht="15.75" customHeight="1">
      <c r="D536" s="4"/>
      <c r="E536" s="4"/>
      <c r="F536" s="4"/>
      <c r="G536" s="49"/>
      <c r="H536" s="4"/>
      <c r="I536" s="4"/>
      <c r="J536" s="4"/>
      <c r="K536" s="4"/>
      <c r="L536" s="4"/>
      <c r="M536" s="4"/>
      <c r="N536" s="4"/>
      <c r="O536" s="4"/>
      <c r="P536" s="5"/>
    </row>
    <row r="537" spans="4:16" ht="15.75" customHeight="1">
      <c r="D537" s="4"/>
      <c r="E537" s="4"/>
      <c r="F537" s="4"/>
      <c r="G537" s="49"/>
      <c r="H537" s="4"/>
      <c r="I537" s="4"/>
      <c r="J537" s="4"/>
      <c r="K537" s="4"/>
      <c r="L537" s="4"/>
      <c r="M537" s="4"/>
      <c r="N537" s="4"/>
      <c r="O537" s="4"/>
      <c r="P537" s="5"/>
    </row>
    <row r="538" spans="4:16" ht="15.75" customHeight="1">
      <c r="D538" s="4"/>
      <c r="E538" s="4"/>
      <c r="F538" s="4"/>
      <c r="G538" s="49"/>
      <c r="H538" s="4"/>
      <c r="I538" s="4"/>
      <c r="J538" s="4"/>
      <c r="K538" s="4"/>
      <c r="L538" s="4"/>
      <c r="M538" s="4"/>
      <c r="N538" s="4"/>
      <c r="O538" s="4"/>
      <c r="P538" s="5"/>
    </row>
    <row r="539" spans="4:16" ht="15.75" customHeight="1">
      <c r="D539" s="4"/>
      <c r="E539" s="4"/>
      <c r="F539" s="4"/>
      <c r="G539" s="49"/>
      <c r="H539" s="4"/>
      <c r="I539" s="4"/>
      <c r="J539" s="4"/>
      <c r="K539" s="4"/>
      <c r="L539" s="4"/>
      <c r="M539" s="4"/>
      <c r="N539" s="4"/>
      <c r="O539" s="4"/>
      <c r="P539" s="5"/>
    </row>
    <row r="540" spans="4:16" ht="15.75" customHeight="1">
      <c r="D540" s="4"/>
      <c r="E540" s="4"/>
      <c r="F540" s="4"/>
      <c r="G540" s="49"/>
      <c r="H540" s="4"/>
      <c r="I540" s="4"/>
      <c r="J540" s="4"/>
      <c r="K540" s="4"/>
      <c r="L540" s="4"/>
      <c r="M540" s="4"/>
      <c r="N540" s="4"/>
      <c r="O540" s="4"/>
      <c r="P540" s="5"/>
    </row>
    <row r="541" spans="4:16" ht="15.75" customHeight="1">
      <c r="D541" s="4"/>
      <c r="E541" s="4"/>
      <c r="F541" s="4"/>
      <c r="G541" s="49"/>
      <c r="H541" s="4"/>
      <c r="I541" s="4"/>
      <c r="J541" s="4"/>
      <c r="K541" s="4"/>
      <c r="L541" s="4"/>
      <c r="M541" s="4"/>
      <c r="N541" s="4"/>
      <c r="O541" s="4"/>
      <c r="P541" s="5"/>
    </row>
    <row r="542" spans="4:16" ht="15.75" customHeight="1">
      <c r="D542" s="4"/>
      <c r="E542" s="4"/>
      <c r="F542" s="4"/>
      <c r="G542" s="49"/>
      <c r="H542" s="4"/>
      <c r="I542" s="4"/>
      <c r="J542" s="4"/>
      <c r="K542" s="4"/>
      <c r="L542" s="4"/>
      <c r="M542" s="4"/>
      <c r="N542" s="4"/>
      <c r="O542" s="4"/>
      <c r="P542" s="5"/>
    </row>
    <row r="543" spans="4:16" ht="15.75" customHeight="1">
      <c r="D543" s="4"/>
      <c r="E543" s="4"/>
      <c r="F543" s="4"/>
      <c r="G543" s="49"/>
      <c r="H543" s="4"/>
      <c r="I543" s="4"/>
      <c r="J543" s="4"/>
      <c r="K543" s="4"/>
      <c r="L543" s="4"/>
      <c r="M543" s="4"/>
      <c r="N543" s="4"/>
      <c r="O543" s="4"/>
      <c r="P543" s="5"/>
    </row>
    <row r="544" spans="4:16" ht="15.75" customHeight="1">
      <c r="D544" s="4"/>
      <c r="E544" s="4"/>
      <c r="F544" s="4"/>
      <c r="G544" s="49"/>
      <c r="H544" s="4"/>
      <c r="I544" s="4"/>
      <c r="J544" s="4"/>
      <c r="K544" s="4"/>
      <c r="L544" s="4"/>
      <c r="M544" s="4"/>
      <c r="N544" s="4"/>
      <c r="O544" s="4"/>
      <c r="P544" s="5"/>
    </row>
    <row r="545" spans="4:16" ht="15.75" customHeight="1">
      <c r="D545" s="4"/>
      <c r="E545" s="4"/>
      <c r="F545" s="4"/>
      <c r="G545" s="49"/>
      <c r="H545" s="4"/>
      <c r="I545" s="4"/>
      <c r="J545" s="4"/>
      <c r="K545" s="4"/>
      <c r="L545" s="4"/>
      <c r="M545" s="4"/>
      <c r="N545" s="4"/>
      <c r="O545" s="4"/>
      <c r="P545" s="5"/>
    </row>
    <row r="546" spans="4:16" ht="15.75" customHeight="1">
      <c r="D546" s="4"/>
      <c r="E546" s="4"/>
      <c r="F546" s="4"/>
      <c r="G546" s="49"/>
      <c r="H546" s="4"/>
      <c r="I546" s="4"/>
      <c r="J546" s="4"/>
      <c r="K546" s="4"/>
      <c r="L546" s="4"/>
      <c r="M546" s="4"/>
      <c r="N546" s="4"/>
      <c r="O546" s="4"/>
      <c r="P546" s="5"/>
    </row>
    <row r="547" spans="4:16" ht="15.75" customHeight="1">
      <c r="D547" s="4"/>
      <c r="E547" s="4"/>
      <c r="F547" s="4"/>
      <c r="G547" s="49"/>
      <c r="H547" s="4"/>
      <c r="I547" s="4"/>
      <c r="J547" s="4"/>
      <c r="K547" s="4"/>
      <c r="L547" s="4"/>
      <c r="M547" s="4"/>
      <c r="N547" s="4"/>
      <c r="O547" s="4"/>
      <c r="P547" s="5"/>
    </row>
    <row r="548" spans="4:16" ht="15.75" customHeight="1">
      <c r="D548" s="4"/>
      <c r="E548" s="4"/>
      <c r="F548" s="4"/>
      <c r="G548" s="49"/>
      <c r="H548" s="4"/>
      <c r="I548" s="4"/>
      <c r="J548" s="4"/>
      <c r="K548" s="4"/>
      <c r="L548" s="4"/>
      <c r="M548" s="4"/>
      <c r="N548" s="4"/>
      <c r="O548" s="4"/>
      <c r="P548" s="5"/>
    </row>
    <row r="549" spans="4:16" ht="15.75" customHeight="1">
      <c r="D549" s="4"/>
      <c r="E549" s="4"/>
      <c r="F549" s="4"/>
      <c r="G549" s="49"/>
      <c r="H549" s="4"/>
      <c r="I549" s="4"/>
      <c r="J549" s="4"/>
      <c r="K549" s="4"/>
      <c r="L549" s="4"/>
      <c r="M549" s="4"/>
      <c r="N549" s="4"/>
      <c r="O549" s="4"/>
      <c r="P549" s="5"/>
    </row>
    <row r="550" spans="4:16" ht="15.75" customHeight="1">
      <c r="D550" s="4"/>
      <c r="E550" s="4"/>
      <c r="F550" s="4"/>
      <c r="G550" s="49"/>
      <c r="H550" s="4"/>
      <c r="I550" s="4"/>
      <c r="J550" s="4"/>
      <c r="K550" s="4"/>
      <c r="L550" s="4"/>
      <c r="M550" s="4"/>
      <c r="N550" s="4"/>
      <c r="O550" s="4"/>
      <c r="P550" s="5"/>
    </row>
    <row r="551" spans="4:16" ht="15.75" customHeight="1">
      <c r="D551" s="4"/>
      <c r="E551" s="4"/>
      <c r="F551" s="4"/>
      <c r="G551" s="49"/>
      <c r="H551" s="4"/>
      <c r="I551" s="4"/>
      <c r="J551" s="4"/>
      <c r="K551" s="4"/>
      <c r="L551" s="4"/>
      <c r="M551" s="4"/>
      <c r="N551" s="4"/>
      <c r="O551" s="4"/>
      <c r="P551" s="5"/>
    </row>
    <row r="552" spans="4:16" ht="15.75" customHeight="1">
      <c r="D552" s="4"/>
      <c r="E552" s="4"/>
      <c r="F552" s="4"/>
      <c r="G552" s="49"/>
      <c r="H552" s="4"/>
      <c r="I552" s="4"/>
      <c r="J552" s="4"/>
      <c r="K552" s="4"/>
      <c r="L552" s="4"/>
      <c r="M552" s="4"/>
      <c r="N552" s="4"/>
      <c r="O552" s="4"/>
      <c r="P552" s="5"/>
    </row>
    <row r="553" spans="4:16" ht="15.75" customHeight="1">
      <c r="D553" s="4"/>
      <c r="E553" s="4"/>
      <c r="F553" s="4"/>
      <c r="G553" s="49"/>
      <c r="H553" s="4"/>
      <c r="I553" s="4"/>
      <c r="J553" s="4"/>
      <c r="K553" s="4"/>
      <c r="L553" s="4"/>
      <c r="M553" s="4"/>
      <c r="N553" s="4"/>
      <c r="O553" s="4"/>
      <c r="P553" s="5"/>
    </row>
    <row r="554" spans="4:16" ht="15.75" customHeight="1">
      <c r="D554" s="4"/>
      <c r="E554" s="4"/>
      <c r="F554" s="4"/>
      <c r="G554" s="49"/>
      <c r="H554" s="4"/>
      <c r="I554" s="4"/>
      <c r="J554" s="4"/>
      <c r="K554" s="4"/>
      <c r="L554" s="4"/>
      <c r="M554" s="4"/>
      <c r="N554" s="4"/>
      <c r="O554" s="4"/>
      <c r="P554" s="5"/>
    </row>
    <row r="555" spans="4:16" ht="15.75" customHeight="1">
      <c r="D555" s="4"/>
      <c r="E555" s="4"/>
      <c r="F555" s="4"/>
      <c r="G555" s="49"/>
      <c r="H555" s="4"/>
      <c r="I555" s="4"/>
      <c r="J555" s="4"/>
      <c r="K555" s="4"/>
      <c r="L555" s="4"/>
      <c r="M555" s="4"/>
      <c r="N555" s="4"/>
      <c r="O555" s="4"/>
      <c r="P555" s="5"/>
    </row>
    <row r="556" spans="4:16" ht="15.75" customHeight="1">
      <c r="D556" s="4"/>
      <c r="E556" s="4"/>
      <c r="F556" s="4"/>
      <c r="G556" s="49"/>
      <c r="H556" s="4"/>
      <c r="I556" s="4"/>
      <c r="J556" s="4"/>
      <c r="K556" s="4"/>
      <c r="L556" s="4"/>
      <c r="M556" s="4"/>
      <c r="N556" s="4"/>
      <c r="O556" s="4"/>
      <c r="P556" s="5"/>
    </row>
    <row r="557" spans="4:16" ht="15.75" customHeight="1">
      <c r="D557" s="4"/>
      <c r="E557" s="4"/>
      <c r="F557" s="4"/>
      <c r="G557" s="49"/>
      <c r="H557" s="4"/>
      <c r="I557" s="4"/>
      <c r="J557" s="4"/>
      <c r="K557" s="4"/>
      <c r="L557" s="4"/>
      <c r="M557" s="4"/>
      <c r="N557" s="4"/>
      <c r="O557" s="4"/>
      <c r="P557" s="5"/>
    </row>
    <row r="558" spans="4:16" ht="15.75" customHeight="1">
      <c r="D558" s="4"/>
      <c r="E558" s="4"/>
      <c r="F558" s="4"/>
      <c r="G558" s="49"/>
      <c r="H558" s="4"/>
      <c r="I558" s="4"/>
      <c r="J558" s="4"/>
      <c r="K558" s="4"/>
      <c r="L558" s="4"/>
      <c r="M558" s="4"/>
      <c r="N558" s="4"/>
      <c r="O558" s="4"/>
      <c r="P558" s="5"/>
    </row>
    <row r="559" spans="4:16" ht="15.75" customHeight="1">
      <c r="D559" s="4"/>
      <c r="E559" s="4"/>
      <c r="F559" s="4"/>
      <c r="G559" s="49"/>
      <c r="H559" s="4"/>
      <c r="I559" s="4"/>
      <c r="J559" s="4"/>
      <c r="K559" s="4"/>
      <c r="L559" s="4"/>
      <c r="M559" s="4"/>
      <c r="N559" s="4"/>
      <c r="O559" s="4"/>
      <c r="P559" s="5"/>
    </row>
    <row r="560" spans="4:16" ht="15.75" customHeight="1">
      <c r="D560" s="4"/>
      <c r="E560" s="4"/>
      <c r="F560" s="4"/>
      <c r="G560" s="49"/>
      <c r="H560" s="4"/>
      <c r="I560" s="4"/>
      <c r="J560" s="4"/>
      <c r="K560" s="4"/>
      <c r="L560" s="4"/>
      <c r="M560" s="4"/>
      <c r="N560" s="4"/>
      <c r="O560" s="4"/>
      <c r="P560" s="5"/>
    </row>
    <row r="561" spans="4:16" ht="15.75" customHeight="1">
      <c r="D561" s="4"/>
      <c r="E561" s="4"/>
      <c r="F561" s="4"/>
      <c r="G561" s="49"/>
      <c r="H561" s="4"/>
      <c r="I561" s="4"/>
      <c r="J561" s="4"/>
      <c r="K561" s="4"/>
      <c r="L561" s="4"/>
      <c r="M561" s="4"/>
      <c r="N561" s="4"/>
      <c r="O561" s="4"/>
      <c r="P561" s="5"/>
    </row>
    <row r="562" spans="4:16" ht="15.75" customHeight="1">
      <c r="D562" s="4"/>
      <c r="E562" s="4"/>
      <c r="F562" s="4"/>
      <c r="G562" s="49"/>
      <c r="H562" s="4"/>
      <c r="I562" s="4"/>
      <c r="J562" s="4"/>
      <c r="K562" s="4"/>
      <c r="L562" s="4"/>
      <c r="M562" s="4"/>
      <c r="N562" s="4"/>
      <c r="O562" s="4"/>
      <c r="P562" s="5"/>
    </row>
    <row r="563" spans="4:16" ht="15.75" customHeight="1">
      <c r="D563" s="4"/>
      <c r="E563" s="4"/>
      <c r="F563" s="4"/>
      <c r="G563" s="49"/>
      <c r="H563" s="4"/>
      <c r="I563" s="4"/>
      <c r="J563" s="4"/>
      <c r="K563" s="4"/>
      <c r="L563" s="4"/>
      <c r="M563" s="4"/>
      <c r="N563" s="4"/>
      <c r="O563" s="4"/>
      <c r="P563" s="5"/>
    </row>
    <row r="564" spans="4:16" ht="15.75" customHeight="1">
      <c r="D564" s="4"/>
      <c r="E564" s="4"/>
      <c r="F564" s="4"/>
      <c r="G564" s="49"/>
      <c r="H564" s="4"/>
      <c r="I564" s="4"/>
      <c r="J564" s="4"/>
      <c r="K564" s="4"/>
      <c r="L564" s="4"/>
      <c r="M564" s="4"/>
      <c r="N564" s="4"/>
      <c r="O564" s="4"/>
      <c r="P564" s="5"/>
    </row>
    <row r="565" spans="4:16" ht="15.75" customHeight="1">
      <c r="D565" s="4"/>
      <c r="E565" s="4"/>
      <c r="F565" s="4"/>
      <c r="G565" s="49"/>
      <c r="H565" s="4"/>
      <c r="I565" s="4"/>
      <c r="J565" s="4"/>
      <c r="K565" s="4"/>
      <c r="L565" s="4"/>
      <c r="M565" s="4"/>
      <c r="N565" s="4"/>
      <c r="O565" s="4"/>
      <c r="P565" s="5"/>
    </row>
    <row r="566" spans="4:16" ht="15.75" customHeight="1">
      <c r="D566" s="4"/>
      <c r="E566" s="4"/>
      <c r="F566" s="4"/>
      <c r="G566" s="49"/>
      <c r="H566" s="4"/>
      <c r="I566" s="4"/>
      <c r="J566" s="4"/>
      <c r="K566" s="4"/>
      <c r="L566" s="4"/>
      <c r="M566" s="4"/>
      <c r="N566" s="4"/>
      <c r="O566" s="4"/>
      <c r="P566" s="5"/>
    </row>
    <row r="567" spans="4:16" ht="15.75" customHeight="1">
      <c r="D567" s="4"/>
      <c r="E567" s="4"/>
      <c r="F567" s="4"/>
      <c r="G567" s="49"/>
      <c r="H567" s="4"/>
      <c r="I567" s="4"/>
      <c r="J567" s="4"/>
      <c r="K567" s="4"/>
      <c r="L567" s="4"/>
      <c r="M567" s="4"/>
      <c r="N567" s="4"/>
      <c r="O567" s="4"/>
      <c r="P567" s="5"/>
    </row>
    <row r="568" spans="4:16" ht="15.75" customHeight="1">
      <c r="D568" s="4"/>
      <c r="E568" s="4"/>
      <c r="F568" s="4"/>
      <c r="G568" s="49"/>
      <c r="H568" s="4"/>
      <c r="I568" s="4"/>
      <c r="J568" s="4"/>
      <c r="K568" s="4"/>
      <c r="L568" s="4"/>
      <c r="M568" s="4"/>
      <c r="N568" s="4"/>
      <c r="O568" s="4"/>
      <c r="P568" s="5"/>
    </row>
    <row r="569" spans="4:16" ht="15.75" customHeight="1">
      <c r="D569" s="4"/>
      <c r="E569" s="4"/>
      <c r="F569" s="4"/>
      <c r="G569" s="49"/>
      <c r="H569" s="4"/>
      <c r="I569" s="4"/>
      <c r="J569" s="4"/>
      <c r="K569" s="4"/>
      <c r="L569" s="4"/>
      <c r="M569" s="4"/>
      <c r="N569" s="4"/>
      <c r="O569" s="4"/>
      <c r="P569" s="5"/>
    </row>
    <row r="570" spans="4:16" ht="15.75" customHeight="1">
      <c r="D570" s="4"/>
      <c r="E570" s="4"/>
      <c r="F570" s="4"/>
      <c r="G570" s="49"/>
      <c r="H570" s="4"/>
      <c r="I570" s="4"/>
      <c r="J570" s="4"/>
      <c r="K570" s="4"/>
      <c r="L570" s="4"/>
      <c r="M570" s="4"/>
      <c r="N570" s="4"/>
      <c r="O570" s="4"/>
      <c r="P570" s="5"/>
    </row>
    <row r="571" spans="4:16" ht="15.75" customHeight="1">
      <c r="D571" s="4"/>
      <c r="E571" s="4"/>
      <c r="F571" s="4"/>
      <c r="G571" s="49"/>
      <c r="H571" s="4"/>
      <c r="I571" s="4"/>
      <c r="J571" s="4"/>
      <c r="K571" s="4"/>
      <c r="L571" s="4"/>
      <c r="M571" s="4"/>
      <c r="N571" s="4"/>
      <c r="O571" s="4"/>
      <c r="P571" s="5"/>
    </row>
    <row r="572" spans="4:16" ht="15.75" customHeight="1">
      <c r="D572" s="4"/>
      <c r="E572" s="4"/>
      <c r="F572" s="4"/>
      <c r="G572" s="49"/>
      <c r="H572" s="4"/>
      <c r="I572" s="4"/>
      <c r="J572" s="4"/>
      <c r="K572" s="4"/>
      <c r="L572" s="4"/>
      <c r="M572" s="4"/>
      <c r="N572" s="4"/>
      <c r="O572" s="4"/>
      <c r="P572" s="5"/>
    </row>
    <row r="573" spans="4:16" ht="15.75" customHeight="1">
      <c r="D573" s="4"/>
      <c r="E573" s="4"/>
      <c r="F573" s="4"/>
      <c r="G573" s="49"/>
      <c r="H573" s="4"/>
      <c r="I573" s="4"/>
      <c r="J573" s="4"/>
      <c r="K573" s="4"/>
      <c r="L573" s="4"/>
      <c r="M573" s="4"/>
      <c r="N573" s="4"/>
      <c r="O573" s="4"/>
      <c r="P573" s="5"/>
    </row>
    <row r="574" spans="4:16" ht="15.75" customHeight="1">
      <c r="D574" s="4"/>
      <c r="E574" s="4"/>
      <c r="F574" s="4"/>
      <c r="G574" s="49"/>
      <c r="H574" s="4"/>
      <c r="I574" s="4"/>
      <c r="J574" s="4"/>
      <c r="K574" s="4"/>
      <c r="L574" s="4"/>
      <c r="M574" s="4"/>
      <c r="N574" s="4"/>
      <c r="O574" s="4"/>
      <c r="P574" s="5"/>
    </row>
    <row r="575" spans="4:16" ht="15.75" customHeight="1">
      <c r="D575" s="4"/>
      <c r="E575" s="4"/>
      <c r="F575" s="4"/>
      <c r="G575" s="49"/>
      <c r="H575" s="4"/>
      <c r="I575" s="4"/>
      <c r="J575" s="4"/>
      <c r="K575" s="4"/>
      <c r="L575" s="4"/>
      <c r="M575" s="4"/>
      <c r="N575" s="4"/>
      <c r="O575" s="4"/>
      <c r="P575" s="5"/>
    </row>
    <row r="576" spans="4:16" ht="15.75" customHeight="1">
      <c r="D576" s="4"/>
      <c r="E576" s="4"/>
      <c r="F576" s="4"/>
      <c r="G576" s="49"/>
      <c r="H576" s="4"/>
      <c r="I576" s="4"/>
      <c r="J576" s="4"/>
      <c r="K576" s="4"/>
      <c r="L576" s="4"/>
      <c r="M576" s="4"/>
      <c r="N576" s="4"/>
      <c r="O576" s="4"/>
      <c r="P576" s="5"/>
    </row>
    <row r="577" spans="4:16" ht="15.75" customHeight="1">
      <c r="D577" s="4"/>
      <c r="E577" s="4"/>
      <c r="F577" s="4"/>
      <c r="G577" s="49"/>
      <c r="H577" s="4"/>
      <c r="I577" s="4"/>
      <c r="J577" s="4"/>
      <c r="K577" s="4"/>
      <c r="L577" s="4"/>
      <c r="M577" s="4"/>
      <c r="N577" s="4"/>
      <c r="O577" s="4"/>
      <c r="P577" s="5"/>
    </row>
    <row r="578" spans="4:16" ht="15.75" customHeight="1">
      <c r="D578" s="4"/>
      <c r="E578" s="4"/>
      <c r="F578" s="4"/>
      <c r="G578" s="49"/>
      <c r="H578" s="4"/>
      <c r="I578" s="4"/>
      <c r="J578" s="4"/>
      <c r="K578" s="4"/>
      <c r="L578" s="4"/>
      <c r="M578" s="4"/>
      <c r="N578" s="4"/>
      <c r="O578" s="4"/>
      <c r="P578" s="5"/>
    </row>
    <row r="579" spans="4:16" ht="15.75" customHeight="1">
      <c r="D579" s="4"/>
      <c r="E579" s="4"/>
      <c r="F579" s="4"/>
      <c r="G579" s="49"/>
      <c r="H579" s="4"/>
      <c r="I579" s="4"/>
      <c r="J579" s="4"/>
      <c r="K579" s="4"/>
      <c r="L579" s="4"/>
      <c r="M579" s="4"/>
      <c r="N579" s="4"/>
      <c r="O579" s="4"/>
      <c r="P579" s="5"/>
    </row>
    <row r="580" spans="4:16" ht="15.75" customHeight="1">
      <c r="D580" s="4"/>
      <c r="E580" s="4"/>
      <c r="F580" s="4"/>
      <c r="G580" s="49"/>
      <c r="H580" s="4"/>
      <c r="I580" s="4"/>
      <c r="J580" s="4"/>
      <c r="K580" s="4"/>
      <c r="L580" s="4"/>
      <c r="M580" s="4"/>
      <c r="N580" s="4"/>
      <c r="O580" s="4"/>
      <c r="P580" s="5"/>
    </row>
    <row r="581" spans="4:16" ht="15.75" customHeight="1">
      <c r="D581" s="4"/>
      <c r="E581" s="4"/>
      <c r="F581" s="4"/>
      <c r="G581" s="49"/>
      <c r="H581" s="4"/>
      <c r="I581" s="4"/>
      <c r="J581" s="4"/>
      <c r="K581" s="4"/>
      <c r="L581" s="4"/>
      <c r="M581" s="4"/>
      <c r="N581" s="4"/>
      <c r="O581" s="4"/>
      <c r="P581" s="5"/>
    </row>
    <row r="582" spans="4:16" ht="15.75" customHeight="1">
      <c r="D582" s="4"/>
      <c r="E582" s="4"/>
      <c r="F582" s="4"/>
      <c r="G582" s="49"/>
      <c r="H582" s="4"/>
      <c r="I582" s="4"/>
      <c r="J582" s="4"/>
      <c r="K582" s="4"/>
      <c r="L582" s="4"/>
      <c r="M582" s="4"/>
      <c r="N582" s="4"/>
      <c r="O582" s="4"/>
      <c r="P582" s="5"/>
    </row>
    <row r="583" spans="4:16" ht="15.75" customHeight="1">
      <c r="D583" s="4"/>
      <c r="E583" s="4"/>
      <c r="F583" s="4"/>
      <c r="G583" s="49"/>
      <c r="H583" s="4"/>
      <c r="I583" s="4"/>
      <c r="J583" s="4"/>
      <c r="K583" s="4"/>
      <c r="L583" s="4"/>
      <c r="M583" s="4"/>
      <c r="N583" s="4"/>
      <c r="O583" s="4"/>
      <c r="P583" s="5"/>
    </row>
    <row r="584" spans="4:16" ht="15.75" customHeight="1">
      <c r="D584" s="4"/>
      <c r="E584" s="4"/>
      <c r="F584" s="4"/>
      <c r="G584" s="49"/>
      <c r="H584" s="4"/>
      <c r="I584" s="4"/>
      <c r="J584" s="4"/>
      <c r="K584" s="4"/>
      <c r="L584" s="4"/>
      <c r="M584" s="4"/>
      <c r="N584" s="4"/>
      <c r="O584" s="4"/>
      <c r="P584" s="5"/>
    </row>
    <row r="585" spans="4:16" ht="15.75" customHeight="1">
      <c r="D585" s="4"/>
      <c r="E585" s="4"/>
      <c r="F585" s="4"/>
      <c r="G585" s="49"/>
      <c r="H585" s="4"/>
      <c r="I585" s="4"/>
      <c r="J585" s="4"/>
      <c r="K585" s="4"/>
      <c r="L585" s="4"/>
      <c r="M585" s="4"/>
      <c r="N585" s="4"/>
      <c r="O585" s="4"/>
      <c r="P585" s="5"/>
    </row>
    <row r="586" spans="4:16" ht="15.75" customHeight="1">
      <c r="D586" s="4"/>
      <c r="E586" s="4"/>
      <c r="F586" s="4"/>
      <c r="G586" s="49"/>
      <c r="H586" s="4"/>
      <c r="I586" s="4"/>
      <c r="J586" s="4"/>
      <c r="K586" s="4"/>
      <c r="L586" s="4"/>
      <c r="M586" s="4"/>
      <c r="N586" s="4"/>
      <c r="O586" s="4"/>
      <c r="P586" s="5"/>
    </row>
    <row r="587" spans="4:16" ht="15.75" customHeight="1">
      <c r="D587" s="4"/>
      <c r="E587" s="4"/>
      <c r="F587" s="4"/>
      <c r="G587" s="49"/>
      <c r="H587" s="4"/>
      <c r="I587" s="4"/>
      <c r="J587" s="4"/>
      <c r="K587" s="4"/>
      <c r="L587" s="4"/>
      <c r="M587" s="4"/>
      <c r="N587" s="4"/>
      <c r="O587" s="4"/>
      <c r="P587" s="5"/>
    </row>
    <row r="588" spans="4:16" ht="15.75" customHeight="1">
      <c r="D588" s="4"/>
      <c r="E588" s="4"/>
      <c r="F588" s="4"/>
      <c r="G588" s="49"/>
      <c r="H588" s="4"/>
      <c r="I588" s="4"/>
      <c r="J588" s="4"/>
      <c r="K588" s="4"/>
      <c r="L588" s="4"/>
      <c r="M588" s="4"/>
      <c r="N588" s="4"/>
      <c r="O588" s="4"/>
      <c r="P588" s="5"/>
    </row>
    <row r="589" spans="4:16" ht="15.75" customHeight="1">
      <c r="D589" s="4"/>
      <c r="E589" s="4"/>
      <c r="F589" s="4"/>
      <c r="G589" s="49"/>
      <c r="H589" s="4"/>
      <c r="I589" s="4"/>
      <c r="J589" s="4"/>
      <c r="K589" s="4"/>
      <c r="L589" s="4"/>
      <c r="M589" s="4"/>
      <c r="N589" s="4"/>
      <c r="O589" s="4"/>
      <c r="P589" s="5"/>
    </row>
    <row r="590" spans="4:16" ht="15.75" customHeight="1">
      <c r="D590" s="4"/>
      <c r="E590" s="4"/>
      <c r="F590" s="4"/>
      <c r="G590" s="49"/>
      <c r="H590" s="4"/>
      <c r="I590" s="4"/>
      <c r="J590" s="4"/>
      <c r="K590" s="4"/>
      <c r="L590" s="4"/>
      <c r="M590" s="4"/>
      <c r="N590" s="4"/>
      <c r="O590" s="4"/>
      <c r="P590" s="5"/>
    </row>
    <row r="591" spans="4:16" ht="15.75" customHeight="1">
      <c r="D591" s="4"/>
      <c r="E591" s="4"/>
      <c r="F591" s="4"/>
      <c r="G591" s="49"/>
      <c r="H591" s="4"/>
      <c r="I591" s="4"/>
      <c r="J591" s="4"/>
      <c r="K591" s="4"/>
      <c r="L591" s="4"/>
      <c r="M591" s="4"/>
      <c r="N591" s="4"/>
      <c r="O591" s="4"/>
      <c r="P591" s="5"/>
    </row>
    <row r="592" spans="4:16" ht="15.75" customHeight="1">
      <c r="D592" s="4"/>
      <c r="E592" s="4"/>
      <c r="F592" s="4"/>
      <c r="G592" s="49"/>
      <c r="H592" s="4"/>
      <c r="I592" s="4"/>
      <c r="J592" s="4"/>
      <c r="K592" s="4"/>
      <c r="L592" s="4"/>
      <c r="M592" s="4"/>
      <c r="N592" s="4"/>
      <c r="O592" s="4"/>
      <c r="P592" s="5"/>
    </row>
    <row r="593" spans="4:16" ht="15.75" customHeight="1">
      <c r="D593" s="4"/>
      <c r="E593" s="4"/>
      <c r="F593" s="4"/>
      <c r="G593" s="49"/>
      <c r="H593" s="4"/>
      <c r="I593" s="4"/>
      <c r="J593" s="4"/>
      <c r="K593" s="4"/>
      <c r="L593" s="4"/>
      <c r="M593" s="4"/>
      <c r="N593" s="4"/>
      <c r="O593" s="4"/>
      <c r="P593" s="5"/>
    </row>
    <row r="594" spans="4:16" ht="15.75" customHeight="1">
      <c r="D594" s="4"/>
      <c r="E594" s="4"/>
      <c r="F594" s="4"/>
      <c r="G594" s="49"/>
      <c r="H594" s="4"/>
      <c r="I594" s="4"/>
      <c r="J594" s="4"/>
      <c r="K594" s="4"/>
      <c r="L594" s="4"/>
      <c r="M594" s="4"/>
      <c r="N594" s="4"/>
      <c r="O594" s="4"/>
      <c r="P594" s="5"/>
    </row>
    <row r="595" spans="4:16" ht="15.75" customHeight="1">
      <c r="D595" s="4"/>
      <c r="E595" s="4"/>
      <c r="F595" s="4"/>
      <c r="G595" s="49"/>
      <c r="H595" s="4"/>
      <c r="I595" s="4"/>
      <c r="J595" s="4"/>
      <c r="K595" s="4"/>
      <c r="L595" s="4"/>
      <c r="M595" s="4"/>
      <c r="N595" s="4"/>
      <c r="O595" s="4"/>
      <c r="P595" s="5"/>
    </row>
    <row r="596" spans="4:16" ht="15.75" customHeight="1">
      <c r="D596" s="4"/>
      <c r="E596" s="4"/>
      <c r="F596" s="4"/>
      <c r="G596" s="49"/>
      <c r="H596" s="4"/>
      <c r="I596" s="4"/>
      <c r="J596" s="4"/>
      <c r="K596" s="4"/>
      <c r="L596" s="4"/>
      <c r="M596" s="4"/>
      <c r="N596" s="4"/>
      <c r="O596" s="4"/>
      <c r="P596" s="5"/>
    </row>
    <row r="597" spans="4:16" ht="15.75" customHeight="1">
      <c r="D597" s="4"/>
      <c r="E597" s="4"/>
      <c r="F597" s="4"/>
      <c r="G597" s="49"/>
      <c r="H597" s="4"/>
      <c r="I597" s="4"/>
      <c r="J597" s="4"/>
      <c r="K597" s="4"/>
      <c r="L597" s="4"/>
      <c r="M597" s="4"/>
      <c r="N597" s="4"/>
      <c r="O597" s="4"/>
      <c r="P597" s="5"/>
    </row>
    <row r="598" spans="4:16" ht="15.75" customHeight="1">
      <c r="D598" s="4"/>
      <c r="E598" s="4"/>
      <c r="F598" s="4"/>
      <c r="G598" s="49"/>
      <c r="H598" s="4"/>
      <c r="I598" s="4"/>
      <c r="J598" s="4"/>
      <c r="K598" s="4"/>
      <c r="L598" s="4"/>
      <c r="M598" s="4"/>
      <c r="N598" s="4"/>
      <c r="O598" s="4"/>
      <c r="P598" s="5"/>
    </row>
    <row r="599" spans="4:16" ht="15.75" customHeight="1">
      <c r="D599" s="4"/>
      <c r="E599" s="4"/>
      <c r="F599" s="4"/>
      <c r="G599" s="49"/>
      <c r="H599" s="4"/>
      <c r="I599" s="4"/>
      <c r="J599" s="4"/>
      <c r="K599" s="4"/>
      <c r="L599" s="4"/>
      <c r="M599" s="4"/>
      <c r="N599" s="4"/>
      <c r="O599" s="4"/>
      <c r="P599" s="5"/>
    </row>
    <row r="600" spans="4:16" ht="15.75" customHeight="1">
      <c r="D600" s="4"/>
      <c r="E600" s="4"/>
      <c r="F600" s="4"/>
      <c r="G600" s="49"/>
      <c r="H600" s="4"/>
      <c r="I600" s="4"/>
      <c r="J600" s="4"/>
      <c r="K600" s="4"/>
      <c r="L600" s="4"/>
      <c r="M600" s="4"/>
      <c r="N600" s="4"/>
      <c r="O600" s="4"/>
      <c r="P600" s="5"/>
    </row>
    <row r="601" spans="4:16" ht="15.75" customHeight="1">
      <c r="D601" s="4"/>
      <c r="E601" s="4"/>
      <c r="F601" s="4"/>
      <c r="G601" s="49"/>
      <c r="H601" s="4"/>
      <c r="I601" s="4"/>
      <c r="J601" s="4"/>
      <c r="K601" s="4"/>
      <c r="L601" s="4"/>
      <c r="M601" s="4"/>
      <c r="N601" s="4"/>
      <c r="O601" s="4"/>
      <c r="P601" s="5"/>
    </row>
    <row r="602" spans="4:16" ht="15.75" customHeight="1">
      <c r="D602" s="4"/>
      <c r="E602" s="4"/>
      <c r="F602" s="4"/>
      <c r="G602" s="49"/>
      <c r="H602" s="4"/>
      <c r="I602" s="4"/>
      <c r="J602" s="4"/>
      <c r="K602" s="4"/>
      <c r="L602" s="4"/>
      <c r="M602" s="4"/>
      <c r="N602" s="4"/>
      <c r="O602" s="4"/>
      <c r="P602" s="5"/>
    </row>
    <row r="603" spans="4:16" ht="15.75" customHeight="1">
      <c r="D603" s="4"/>
      <c r="E603" s="4"/>
      <c r="F603" s="4"/>
      <c r="G603" s="49"/>
      <c r="H603" s="4"/>
      <c r="I603" s="4"/>
      <c r="J603" s="4"/>
      <c r="K603" s="4"/>
      <c r="L603" s="4"/>
      <c r="M603" s="4"/>
      <c r="N603" s="4"/>
      <c r="O603" s="4"/>
      <c r="P603" s="5"/>
    </row>
    <row r="604" spans="4:16" ht="15.75" customHeight="1">
      <c r="D604" s="4"/>
      <c r="E604" s="4"/>
      <c r="F604" s="4"/>
      <c r="G604" s="49"/>
      <c r="H604" s="4"/>
      <c r="I604" s="4"/>
      <c r="J604" s="4"/>
      <c r="K604" s="4"/>
      <c r="L604" s="4"/>
      <c r="M604" s="4"/>
      <c r="N604" s="4"/>
      <c r="O604" s="4"/>
      <c r="P604" s="5"/>
    </row>
    <row r="605" spans="4:16" ht="15.75" customHeight="1">
      <c r="D605" s="4"/>
      <c r="E605" s="4"/>
      <c r="F605" s="4"/>
      <c r="G605" s="49"/>
      <c r="H605" s="4"/>
      <c r="I605" s="4"/>
      <c r="J605" s="4"/>
      <c r="K605" s="4"/>
      <c r="L605" s="4"/>
      <c r="M605" s="4"/>
      <c r="N605" s="4"/>
      <c r="O605" s="4"/>
      <c r="P605" s="5"/>
    </row>
    <row r="606" spans="4:16" ht="15.75" customHeight="1">
      <c r="D606" s="4"/>
      <c r="E606" s="4"/>
      <c r="F606" s="4"/>
      <c r="G606" s="49"/>
      <c r="H606" s="4"/>
      <c r="I606" s="4"/>
      <c r="J606" s="4"/>
      <c r="K606" s="4"/>
      <c r="L606" s="4"/>
      <c r="M606" s="4"/>
      <c r="N606" s="4"/>
      <c r="O606" s="4"/>
      <c r="P606" s="5"/>
    </row>
    <row r="607" spans="4:16" ht="15.75" customHeight="1">
      <c r="D607" s="4"/>
      <c r="E607" s="4"/>
      <c r="F607" s="4"/>
      <c r="G607" s="49"/>
      <c r="H607" s="4"/>
      <c r="I607" s="4"/>
      <c r="J607" s="4"/>
      <c r="K607" s="4"/>
      <c r="L607" s="4"/>
      <c r="M607" s="4"/>
      <c r="N607" s="4"/>
      <c r="O607" s="4"/>
      <c r="P607" s="5"/>
    </row>
    <row r="608" spans="4:16" ht="15.75" customHeight="1">
      <c r="D608" s="4"/>
      <c r="E608" s="4"/>
      <c r="F608" s="4"/>
      <c r="G608" s="49"/>
      <c r="H608" s="4"/>
      <c r="I608" s="4"/>
      <c r="J608" s="4"/>
      <c r="K608" s="4"/>
      <c r="L608" s="4"/>
      <c r="M608" s="4"/>
      <c r="N608" s="4"/>
      <c r="O608" s="4"/>
      <c r="P608" s="5"/>
    </row>
    <row r="609" spans="4:16" ht="15.75" customHeight="1">
      <c r="D609" s="4"/>
      <c r="E609" s="4"/>
      <c r="F609" s="4"/>
      <c r="G609" s="49"/>
      <c r="H609" s="4"/>
      <c r="I609" s="4"/>
      <c r="J609" s="4"/>
      <c r="K609" s="4"/>
      <c r="L609" s="4"/>
      <c r="M609" s="4"/>
      <c r="N609" s="4"/>
      <c r="O609" s="4"/>
      <c r="P609" s="5"/>
    </row>
    <row r="610" spans="4:16" ht="15.75" customHeight="1">
      <c r="D610" s="4"/>
      <c r="E610" s="4"/>
      <c r="F610" s="4"/>
      <c r="G610" s="49"/>
      <c r="H610" s="4"/>
      <c r="I610" s="4"/>
      <c r="J610" s="4"/>
      <c r="K610" s="4"/>
      <c r="L610" s="4"/>
      <c r="M610" s="4"/>
      <c r="N610" s="4"/>
      <c r="O610" s="4"/>
      <c r="P610" s="5"/>
    </row>
    <row r="611" spans="4:16" ht="15.75" customHeight="1">
      <c r="D611" s="4"/>
      <c r="E611" s="4"/>
      <c r="F611" s="4"/>
      <c r="G611" s="49"/>
      <c r="H611" s="4"/>
      <c r="I611" s="4"/>
      <c r="J611" s="4"/>
      <c r="K611" s="4"/>
      <c r="L611" s="4"/>
      <c r="M611" s="4"/>
      <c r="N611" s="4"/>
      <c r="O611" s="4"/>
      <c r="P611" s="5"/>
    </row>
    <row r="612" spans="4:16" ht="15.75" customHeight="1">
      <c r="D612" s="4"/>
      <c r="E612" s="4"/>
      <c r="F612" s="4"/>
      <c r="G612" s="49"/>
      <c r="H612" s="4"/>
      <c r="I612" s="4"/>
      <c r="J612" s="4"/>
      <c r="K612" s="4"/>
      <c r="L612" s="4"/>
      <c r="M612" s="4"/>
      <c r="N612" s="4"/>
      <c r="O612" s="4"/>
      <c r="P612" s="5"/>
    </row>
    <row r="613" spans="4:16" ht="15.75" customHeight="1">
      <c r="D613" s="4"/>
      <c r="E613" s="4"/>
      <c r="F613" s="4"/>
      <c r="G613" s="49"/>
      <c r="H613" s="4"/>
      <c r="I613" s="4"/>
      <c r="J613" s="4"/>
      <c r="K613" s="4"/>
      <c r="L613" s="4"/>
      <c r="M613" s="4"/>
      <c r="N613" s="4"/>
      <c r="O613" s="4"/>
      <c r="P613" s="5"/>
    </row>
    <row r="614" spans="4:16" ht="15.75" customHeight="1">
      <c r="D614" s="4"/>
      <c r="E614" s="4"/>
      <c r="F614" s="4"/>
      <c r="G614" s="49"/>
      <c r="H614" s="4"/>
      <c r="I614" s="4"/>
      <c r="J614" s="4"/>
      <c r="K614" s="4"/>
      <c r="L614" s="4"/>
      <c r="M614" s="4"/>
      <c r="N614" s="4"/>
      <c r="O614" s="4"/>
      <c r="P614" s="5"/>
    </row>
    <row r="615" spans="4:16" ht="15.75" customHeight="1">
      <c r="D615" s="4"/>
      <c r="E615" s="4"/>
      <c r="F615" s="4"/>
      <c r="G615" s="49"/>
      <c r="H615" s="4"/>
      <c r="I615" s="4"/>
      <c r="J615" s="4"/>
      <c r="K615" s="4"/>
      <c r="L615" s="4"/>
      <c r="M615" s="4"/>
      <c r="N615" s="4"/>
      <c r="O615" s="4"/>
      <c r="P615" s="5"/>
    </row>
    <row r="616" spans="4:16" ht="15.75" customHeight="1">
      <c r="D616" s="4"/>
      <c r="E616" s="4"/>
      <c r="F616" s="4"/>
      <c r="G616" s="49"/>
      <c r="H616" s="4"/>
      <c r="I616" s="4"/>
      <c r="J616" s="4"/>
      <c r="K616" s="4"/>
      <c r="L616" s="4"/>
      <c r="M616" s="4"/>
      <c r="N616" s="4"/>
      <c r="O616" s="4"/>
      <c r="P616" s="5"/>
    </row>
    <row r="617" spans="4:16" ht="15.75" customHeight="1">
      <c r="D617" s="4"/>
      <c r="E617" s="4"/>
      <c r="F617" s="4"/>
      <c r="G617" s="49"/>
      <c r="H617" s="4"/>
      <c r="I617" s="4"/>
      <c r="J617" s="4"/>
      <c r="K617" s="4"/>
      <c r="L617" s="4"/>
      <c r="M617" s="4"/>
      <c r="N617" s="4"/>
      <c r="O617" s="4"/>
      <c r="P617" s="5"/>
    </row>
    <row r="618" spans="4:16" ht="15.75" customHeight="1">
      <c r="D618" s="4"/>
      <c r="E618" s="4"/>
      <c r="F618" s="4"/>
      <c r="G618" s="49"/>
      <c r="H618" s="4"/>
      <c r="I618" s="4"/>
      <c r="J618" s="4"/>
      <c r="K618" s="4"/>
      <c r="L618" s="4"/>
      <c r="M618" s="4"/>
      <c r="N618" s="4"/>
      <c r="O618" s="4"/>
      <c r="P618" s="5"/>
    </row>
    <row r="619" spans="4:16" ht="15.75" customHeight="1">
      <c r="D619" s="4"/>
      <c r="E619" s="4"/>
      <c r="F619" s="4"/>
      <c r="G619" s="49"/>
      <c r="H619" s="4"/>
      <c r="I619" s="4"/>
      <c r="J619" s="4"/>
      <c r="K619" s="4"/>
      <c r="L619" s="4"/>
      <c r="M619" s="4"/>
      <c r="N619" s="4"/>
      <c r="O619" s="4"/>
      <c r="P619" s="5"/>
    </row>
    <row r="620" spans="4:16" ht="15.75" customHeight="1">
      <c r="D620" s="4"/>
      <c r="E620" s="4"/>
      <c r="F620" s="4"/>
      <c r="G620" s="49"/>
      <c r="H620" s="4"/>
      <c r="I620" s="4"/>
      <c r="J620" s="4"/>
      <c r="K620" s="4"/>
      <c r="L620" s="4"/>
      <c r="M620" s="4"/>
      <c r="N620" s="4"/>
      <c r="O620" s="4"/>
      <c r="P620" s="5"/>
    </row>
    <row r="621" spans="4:16" ht="15.75" customHeight="1">
      <c r="D621" s="4"/>
      <c r="E621" s="4"/>
      <c r="F621" s="4"/>
      <c r="G621" s="49"/>
      <c r="H621" s="4"/>
      <c r="I621" s="4"/>
      <c r="J621" s="4"/>
      <c r="K621" s="4"/>
      <c r="L621" s="4"/>
      <c r="M621" s="4"/>
      <c r="N621" s="4"/>
      <c r="O621" s="4"/>
      <c r="P621" s="5"/>
    </row>
    <row r="622" spans="4:16" ht="15.75" customHeight="1">
      <c r="D622" s="4"/>
      <c r="E622" s="4"/>
      <c r="F622" s="4"/>
      <c r="G622" s="49"/>
      <c r="H622" s="4"/>
      <c r="I622" s="4"/>
      <c r="J622" s="4"/>
      <c r="K622" s="4"/>
      <c r="L622" s="4"/>
      <c r="M622" s="4"/>
      <c r="N622" s="4"/>
      <c r="O622" s="4"/>
      <c r="P622" s="5"/>
    </row>
    <row r="623" spans="4:16" ht="15.75" customHeight="1">
      <c r="D623" s="4"/>
      <c r="E623" s="4"/>
      <c r="F623" s="4"/>
      <c r="G623" s="49"/>
      <c r="H623" s="4"/>
      <c r="I623" s="4"/>
      <c r="J623" s="4"/>
      <c r="K623" s="4"/>
      <c r="L623" s="4"/>
      <c r="M623" s="4"/>
      <c r="N623" s="4"/>
      <c r="O623" s="4"/>
      <c r="P623" s="5"/>
    </row>
    <row r="624" spans="4:16" ht="15.75" customHeight="1">
      <c r="D624" s="4"/>
      <c r="E624" s="4"/>
      <c r="F624" s="4"/>
      <c r="G624" s="49"/>
      <c r="H624" s="4"/>
      <c r="I624" s="4"/>
      <c r="J624" s="4"/>
      <c r="K624" s="4"/>
      <c r="L624" s="4"/>
      <c r="M624" s="4"/>
      <c r="N624" s="4"/>
      <c r="O624" s="4"/>
      <c r="P624" s="5"/>
    </row>
    <row r="625" spans="4:16" ht="15.75" customHeight="1">
      <c r="D625" s="4"/>
      <c r="E625" s="4"/>
      <c r="F625" s="4"/>
      <c r="G625" s="49"/>
      <c r="H625" s="4"/>
      <c r="I625" s="4"/>
      <c r="J625" s="4"/>
      <c r="K625" s="4"/>
      <c r="L625" s="4"/>
      <c r="M625" s="4"/>
      <c r="N625" s="4"/>
      <c r="O625" s="4"/>
      <c r="P625" s="5"/>
    </row>
    <row r="626" spans="4:16" ht="15.75" customHeight="1">
      <c r="D626" s="4"/>
      <c r="E626" s="4"/>
      <c r="F626" s="4"/>
      <c r="G626" s="49"/>
      <c r="H626" s="4"/>
      <c r="I626" s="4"/>
      <c r="J626" s="4"/>
      <c r="K626" s="4"/>
      <c r="L626" s="4"/>
      <c r="M626" s="4"/>
      <c r="N626" s="4"/>
      <c r="O626" s="4"/>
      <c r="P626" s="5"/>
    </row>
    <row r="627" spans="4:16" ht="15.75" customHeight="1">
      <c r="D627" s="4"/>
      <c r="E627" s="4"/>
      <c r="F627" s="4"/>
      <c r="G627" s="49"/>
      <c r="H627" s="4"/>
      <c r="I627" s="4"/>
      <c r="J627" s="4"/>
      <c r="K627" s="4"/>
      <c r="L627" s="4"/>
      <c r="M627" s="4"/>
      <c r="N627" s="4"/>
      <c r="O627" s="4"/>
      <c r="P627" s="5"/>
    </row>
    <row r="628" spans="4:16" ht="15.75" customHeight="1">
      <c r="D628" s="4"/>
      <c r="E628" s="4"/>
      <c r="F628" s="4"/>
      <c r="G628" s="49"/>
      <c r="H628" s="4"/>
      <c r="I628" s="4"/>
      <c r="J628" s="4"/>
      <c r="K628" s="4"/>
      <c r="L628" s="4"/>
      <c r="M628" s="4"/>
      <c r="N628" s="4"/>
      <c r="O628" s="4"/>
      <c r="P628" s="5"/>
    </row>
    <row r="629" spans="4:16" ht="15.75" customHeight="1">
      <c r="D629" s="4"/>
      <c r="E629" s="4"/>
      <c r="F629" s="4"/>
      <c r="G629" s="49"/>
      <c r="H629" s="4"/>
      <c r="I629" s="4"/>
      <c r="J629" s="4"/>
      <c r="K629" s="4"/>
      <c r="L629" s="4"/>
      <c r="M629" s="4"/>
      <c r="N629" s="4"/>
      <c r="O629" s="4"/>
      <c r="P629" s="5"/>
    </row>
    <row r="630" spans="4:16" ht="15.75" customHeight="1">
      <c r="D630" s="4"/>
      <c r="E630" s="4"/>
      <c r="F630" s="4"/>
      <c r="G630" s="49"/>
      <c r="H630" s="4"/>
      <c r="I630" s="4"/>
      <c r="J630" s="4"/>
      <c r="K630" s="4"/>
      <c r="L630" s="4"/>
      <c r="M630" s="4"/>
      <c r="N630" s="4"/>
      <c r="O630" s="4"/>
      <c r="P630" s="5"/>
    </row>
    <row r="631" spans="4:16" ht="15.75" customHeight="1">
      <c r="D631" s="4"/>
      <c r="E631" s="4"/>
      <c r="F631" s="4"/>
      <c r="G631" s="49"/>
      <c r="H631" s="4"/>
      <c r="I631" s="4"/>
      <c r="J631" s="4"/>
      <c r="K631" s="4"/>
      <c r="L631" s="4"/>
      <c r="M631" s="4"/>
      <c r="N631" s="4"/>
      <c r="O631" s="4"/>
      <c r="P631" s="5"/>
    </row>
    <row r="632" spans="4:16" ht="15.75" customHeight="1">
      <c r="D632" s="4"/>
      <c r="E632" s="4"/>
      <c r="F632" s="4"/>
      <c r="G632" s="49"/>
      <c r="H632" s="4"/>
      <c r="I632" s="4"/>
      <c r="J632" s="4"/>
      <c r="K632" s="4"/>
      <c r="L632" s="4"/>
      <c r="M632" s="4"/>
      <c r="N632" s="4"/>
      <c r="O632" s="4"/>
      <c r="P632" s="5"/>
    </row>
    <row r="633" spans="4:16" ht="15.75" customHeight="1">
      <c r="D633" s="4"/>
      <c r="E633" s="4"/>
      <c r="F633" s="4"/>
      <c r="G633" s="49"/>
      <c r="H633" s="4"/>
      <c r="I633" s="4"/>
      <c r="J633" s="4"/>
      <c r="K633" s="4"/>
      <c r="L633" s="4"/>
      <c r="M633" s="4"/>
      <c r="N633" s="4"/>
      <c r="O633" s="4"/>
      <c r="P633" s="5"/>
    </row>
    <row r="634" spans="4:16" ht="15.75" customHeight="1">
      <c r="D634" s="4"/>
      <c r="E634" s="4"/>
      <c r="F634" s="4"/>
      <c r="G634" s="49"/>
      <c r="H634" s="4"/>
      <c r="I634" s="4"/>
      <c r="J634" s="4"/>
      <c r="K634" s="4"/>
      <c r="L634" s="4"/>
      <c r="M634" s="4"/>
      <c r="N634" s="4"/>
      <c r="O634" s="4"/>
      <c r="P634" s="5"/>
    </row>
    <row r="635" spans="4:16" ht="15.75" customHeight="1">
      <c r="D635" s="4"/>
      <c r="E635" s="4"/>
      <c r="F635" s="4"/>
      <c r="G635" s="49"/>
      <c r="H635" s="4"/>
      <c r="I635" s="4"/>
      <c r="J635" s="4"/>
      <c r="K635" s="4"/>
      <c r="L635" s="4"/>
      <c r="M635" s="4"/>
      <c r="N635" s="4"/>
      <c r="O635" s="4"/>
      <c r="P635" s="5"/>
    </row>
    <row r="636" spans="4:16" ht="15.75" customHeight="1">
      <c r="D636" s="4"/>
      <c r="E636" s="4"/>
      <c r="F636" s="4"/>
      <c r="G636" s="49"/>
      <c r="H636" s="4"/>
      <c r="I636" s="4"/>
      <c r="J636" s="4"/>
      <c r="K636" s="4"/>
      <c r="L636" s="4"/>
      <c r="M636" s="4"/>
      <c r="N636" s="4"/>
      <c r="O636" s="4"/>
      <c r="P636" s="5"/>
    </row>
    <row r="637" spans="4:16" ht="15.75" customHeight="1">
      <c r="D637" s="4"/>
      <c r="E637" s="4"/>
      <c r="F637" s="4"/>
      <c r="G637" s="49"/>
      <c r="H637" s="4"/>
      <c r="I637" s="4"/>
      <c r="J637" s="4"/>
      <c r="K637" s="4"/>
      <c r="L637" s="4"/>
      <c r="M637" s="4"/>
      <c r="N637" s="4"/>
      <c r="O637" s="4"/>
      <c r="P637" s="5"/>
    </row>
    <row r="638" spans="4:16" ht="15.75" customHeight="1">
      <c r="D638" s="4"/>
      <c r="E638" s="4"/>
      <c r="F638" s="4"/>
      <c r="G638" s="49"/>
      <c r="H638" s="4"/>
      <c r="I638" s="4"/>
      <c r="J638" s="4"/>
      <c r="K638" s="4"/>
      <c r="L638" s="4"/>
      <c r="M638" s="4"/>
      <c r="N638" s="4"/>
      <c r="O638" s="4"/>
      <c r="P638" s="5"/>
    </row>
    <row r="639" spans="4:16" ht="15.75" customHeight="1">
      <c r="D639" s="4"/>
      <c r="E639" s="4"/>
      <c r="F639" s="4"/>
      <c r="G639" s="49"/>
      <c r="H639" s="4"/>
      <c r="I639" s="4"/>
      <c r="J639" s="4"/>
      <c r="K639" s="4"/>
      <c r="L639" s="4"/>
      <c r="M639" s="4"/>
      <c r="N639" s="4"/>
      <c r="O639" s="4"/>
      <c r="P639" s="5"/>
    </row>
    <row r="640" spans="4:16" ht="15.75" customHeight="1">
      <c r="D640" s="4"/>
      <c r="E640" s="4"/>
      <c r="F640" s="4"/>
      <c r="G640" s="49"/>
      <c r="H640" s="4"/>
      <c r="I640" s="4"/>
      <c r="J640" s="4"/>
      <c r="K640" s="4"/>
      <c r="L640" s="4"/>
      <c r="M640" s="4"/>
      <c r="N640" s="4"/>
      <c r="O640" s="4"/>
      <c r="P640" s="5"/>
    </row>
    <row r="641" spans="4:16" ht="15.75" customHeight="1">
      <c r="D641" s="4"/>
      <c r="E641" s="4"/>
      <c r="F641" s="4"/>
      <c r="G641" s="49"/>
      <c r="H641" s="4"/>
      <c r="I641" s="4"/>
      <c r="J641" s="4"/>
      <c r="K641" s="4"/>
      <c r="L641" s="4"/>
      <c r="M641" s="4"/>
      <c r="N641" s="4"/>
      <c r="O641" s="4"/>
      <c r="P641" s="5"/>
    </row>
    <row r="642" spans="4:16" ht="15.75" customHeight="1">
      <c r="D642" s="4"/>
      <c r="E642" s="4"/>
      <c r="F642" s="4"/>
      <c r="G642" s="49"/>
      <c r="H642" s="4"/>
      <c r="I642" s="4"/>
      <c r="J642" s="4"/>
      <c r="K642" s="4"/>
      <c r="L642" s="4"/>
      <c r="M642" s="4"/>
      <c r="N642" s="4"/>
      <c r="O642" s="4"/>
      <c r="P642" s="5"/>
    </row>
    <row r="643" spans="4:16" ht="15.75" customHeight="1">
      <c r="D643" s="4"/>
      <c r="E643" s="4"/>
      <c r="F643" s="4"/>
      <c r="G643" s="49"/>
      <c r="H643" s="4"/>
      <c r="I643" s="4"/>
      <c r="J643" s="4"/>
      <c r="K643" s="4"/>
      <c r="L643" s="4"/>
      <c r="M643" s="4"/>
      <c r="N643" s="4"/>
      <c r="O643" s="4"/>
      <c r="P643" s="5"/>
    </row>
    <row r="644" spans="4:16" ht="15.75" customHeight="1">
      <c r="D644" s="4"/>
      <c r="E644" s="4"/>
      <c r="F644" s="4"/>
      <c r="G644" s="49"/>
      <c r="H644" s="4"/>
      <c r="I644" s="4"/>
      <c r="J644" s="4"/>
      <c r="K644" s="4"/>
      <c r="L644" s="4"/>
      <c r="M644" s="4"/>
      <c r="N644" s="4"/>
      <c r="O644" s="4"/>
      <c r="P644" s="5"/>
    </row>
    <row r="645" spans="4:16" ht="15.75" customHeight="1">
      <c r="D645" s="4"/>
      <c r="E645" s="4"/>
      <c r="F645" s="4"/>
      <c r="G645" s="49"/>
      <c r="H645" s="4"/>
      <c r="I645" s="4"/>
      <c r="J645" s="4"/>
      <c r="K645" s="4"/>
      <c r="L645" s="4"/>
      <c r="M645" s="4"/>
      <c r="N645" s="4"/>
      <c r="O645" s="4"/>
      <c r="P645" s="5"/>
    </row>
    <row r="646" spans="4:16" ht="15.75" customHeight="1">
      <c r="D646" s="4"/>
      <c r="E646" s="4"/>
      <c r="F646" s="4"/>
      <c r="G646" s="49"/>
      <c r="H646" s="4"/>
      <c r="I646" s="4"/>
      <c r="J646" s="4"/>
      <c r="K646" s="4"/>
      <c r="L646" s="4"/>
      <c r="M646" s="4"/>
      <c r="N646" s="4"/>
      <c r="O646" s="4"/>
      <c r="P646" s="5"/>
    </row>
    <row r="647" spans="4:16" ht="15.75" customHeight="1">
      <c r="D647" s="4"/>
      <c r="E647" s="4"/>
      <c r="F647" s="4"/>
      <c r="G647" s="49"/>
      <c r="H647" s="4"/>
      <c r="I647" s="4"/>
      <c r="J647" s="4"/>
      <c r="K647" s="4"/>
      <c r="L647" s="4"/>
      <c r="M647" s="4"/>
      <c r="N647" s="4"/>
      <c r="O647" s="4"/>
      <c r="P647" s="5"/>
    </row>
    <row r="648" spans="4:16" ht="15.75" customHeight="1">
      <c r="D648" s="4"/>
      <c r="E648" s="4"/>
      <c r="F648" s="4"/>
      <c r="G648" s="49"/>
      <c r="H648" s="4"/>
      <c r="I648" s="4"/>
      <c r="J648" s="4"/>
      <c r="K648" s="4"/>
      <c r="L648" s="4"/>
      <c r="M648" s="4"/>
      <c r="N648" s="4"/>
      <c r="O648" s="4"/>
      <c r="P648" s="5"/>
    </row>
    <row r="649" spans="4:16" ht="15.75" customHeight="1">
      <c r="D649" s="4"/>
      <c r="E649" s="4"/>
      <c r="F649" s="4"/>
      <c r="G649" s="49"/>
      <c r="H649" s="4"/>
      <c r="I649" s="4"/>
      <c r="J649" s="4"/>
      <c r="K649" s="4"/>
      <c r="L649" s="4"/>
      <c r="M649" s="4"/>
      <c r="N649" s="4"/>
      <c r="O649" s="4"/>
      <c r="P649" s="5"/>
    </row>
    <row r="650" spans="4:16" ht="15.75" customHeight="1">
      <c r="D650" s="4"/>
      <c r="E650" s="4"/>
      <c r="F650" s="4"/>
      <c r="G650" s="49"/>
      <c r="H650" s="4"/>
      <c r="I650" s="4"/>
      <c r="J650" s="4"/>
      <c r="K650" s="4"/>
      <c r="L650" s="4"/>
      <c r="M650" s="4"/>
      <c r="N650" s="4"/>
      <c r="O650" s="4"/>
      <c r="P650" s="5"/>
    </row>
    <row r="651" spans="4:16" ht="15.75" customHeight="1">
      <c r="D651" s="4"/>
      <c r="E651" s="4"/>
      <c r="F651" s="4"/>
      <c r="G651" s="49"/>
      <c r="H651" s="4"/>
      <c r="I651" s="4"/>
      <c r="J651" s="4"/>
      <c r="K651" s="4"/>
      <c r="L651" s="4"/>
      <c r="M651" s="4"/>
      <c r="N651" s="4"/>
      <c r="O651" s="4"/>
      <c r="P651" s="5"/>
    </row>
    <row r="652" spans="4:16" ht="15.75" customHeight="1">
      <c r="D652" s="4"/>
      <c r="E652" s="4"/>
      <c r="F652" s="4"/>
      <c r="G652" s="49"/>
      <c r="H652" s="4"/>
      <c r="I652" s="4"/>
      <c r="J652" s="4"/>
      <c r="K652" s="4"/>
      <c r="L652" s="4"/>
      <c r="M652" s="4"/>
      <c r="N652" s="4"/>
      <c r="O652" s="4"/>
      <c r="P652" s="5"/>
    </row>
    <row r="653" spans="4:16" ht="15.75" customHeight="1">
      <c r="D653" s="4"/>
      <c r="E653" s="4"/>
      <c r="F653" s="4"/>
      <c r="G653" s="49"/>
      <c r="H653" s="4"/>
      <c r="I653" s="4"/>
      <c r="J653" s="4"/>
      <c r="K653" s="4"/>
      <c r="L653" s="4"/>
      <c r="M653" s="4"/>
      <c r="N653" s="4"/>
      <c r="O653" s="4"/>
      <c r="P653" s="5"/>
    </row>
    <row r="654" spans="4:16" ht="15.75" customHeight="1">
      <c r="D654" s="4"/>
      <c r="E654" s="4"/>
      <c r="F654" s="4"/>
      <c r="G654" s="49"/>
      <c r="H654" s="4"/>
      <c r="I654" s="4"/>
      <c r="J654" s="4"/>
      <c r="K654" s="4"/>
      <c r="L654" s="4"/>
      <c r="M654" s="4"/>
      <c r="N654" s="4"/>
      <c r="O654" s="4"/>
      <c r="P654" s="5"/>
    </row>
    <row r="655" spans="4:16" ht="15.75" customHeight="1">
      <c r="D655" s="4"/>
      <c r="E655" s="4"/>
      <c r="F655" s="4"/>
      <c r="G655" s="49"/>
      <c r="H655" s="4"/>
      <c r="I655" s="4"/>
      <c r="J655" s="4"/>
      <c r="K655" s="4"/>
      <c r="L655" s="4"/>
      <c r="M655" s="4"/>
      <c r="N655" s="4"/>
      <c r="O655" s="4"/>
      <c r="P655" s="5"/>
    </row>
    <row r="656" spans="4:16" ht="15.75" customHeight="1">
      <c r="D656" s="4"/>
      <c r="E656" s="4"/>
      <c r="F656" s="4"/>
      <c r="G656" s="49"/>
      <c r="H656" s="4"/>
      <c r="I656" s="4"/>
      <c r="J656" s="4"/>
      <c r="K656" s="4"/>
      <c r="L656" s="4"/>
      <c r="M656" s="4"/>
      <c r="N656" s="4"/>
      <c r="O656" s="4"/>
      <c r="P656" s="5"/>
    </row>
    <row r="657" spans="4:16" ht="15.75" customHeight="1">
      <c r="D657" s="4"/>
      <c r="E657" s="4"/>
      <c r="F657" s="4"/>
      <c r="G657" s="49"/>
      <c r="H657" s="4"/>
      <c r="I657" s="4"/>
      <c r="J657" s="4"/>
      <c r="K657" s="4"/>
      <c r="L657" s="4"/>
      <c r="M657" s="4"/>
      <c r="N657" s="4"/>
      <c r="O657" s="4"/>
      <c r="P657" s="5"/>
    </row>
    <row r="658" spans="4:16" ht="15.75" customHeight="1">
      <c r="D658" s="4"/>
      <c r="E658" s="4"/>
      <c r="F658" s="4"/>
      <c r="G658" s="49"/>
      <c r="H658" s="4"/>
      <c r="I658" s="4"/>
      <c r="J658" s="4"/>
      <c r="K658" s="4"/>
      <c r="L658" s="4"/>
      <c r="M658" s="4"/>
      <c r="N658" s="4"/>
      <c r="O658" s="4"/>
      <c r="P658" s="5"/>
    </row>
    <row r="659" spans="4:16" ht="15.75" customHeight="1">
      <c r="D659" s="4"/>
      <c r="E659" s="4"/>
      <c r="F659" s="4"/>
      <c r="G659" s="49"/>
      <c r="H659" s="4"/>
      <c r="I659" s="4"/>
      <c r="J659" s="4"/>
      <c r="K659" s="4"/>
      <c r="L659" s="4"/>
      <c r="M659" s="4"/>
      <c r="N659" s="4"/>
      <c r="O659" s="4"/>
      <c r="P659" s="5"/>
    </row>
    <row r="660" spans="4:16" ht="15.75" customHeight="1">
      <c r="D660" s="4"/>
      <c r="E660" s="4"/>
      <c r="F660" s="4"/>
      <c r="G660" s="49"/>
      <c r="H660" s="4"/>
      <c r="I660" s="4"/>
      <c r="J660" s="4"/>
      <c r="K660" s="4"/>
      <c r="L660" s="4"/>
      <c r="M660" s="4"/>
      <c r="N660" s="4"/>
      <c r="O660" s="4"/>
      <c r="P660" s="5"/>
    </row>
    <row r="661" spans="4:16" ht="15.75" customHeight="1">
      <c r="D661" s="4"/>
      <c r="E661" s="4"/>
      <c r="F661" s="4"/>
      <c r="G661" s="49"/>
      <c r="H661" s="4"/>
      <c r="I661" s="4"/>
      <c r="J661" s="4"/>
      <c r="K661" s="4"/>
      <c r="L661" s="4"/>
      <c r="M661" s="4"/>
      <c r="N661" s="4"/>
      <c r="O661" s="4"/>
      <c r="P661" s="5"/>
    </row>
    <row r="662" spans="4:16" ht="15.75" customHeight="1">
      <c r="D662" s="4"/>
      <c r="E662" s="4"/>
      <c r="F662" s="4"/>
      <c r="G662" s="49"/>
      <c r="H662" s="4"/>
      <c r="I662" s="4"/>
      <c r="J662" s="4"/>
      <c r="K662" s="4"/>
      <c r="L662" s="4"/>
      <c r="M662" s="4"/>
      <c r="N662" s="4"/>
      <c r="O662" s="4"/>
      <c r="P662" s="5"/>
    </row>
    <row r="663" spans="4:16" ht="15.75" customHeight="1">
      <c r="D663" s="4"/>
      <c r="E663" s="4"/>
      <c r="F663" s="4"/>
      <c r="G663" s="49"/>
      <c r="H663" s="4"/>
      <c r="I663" s="4"/>
      <c r="J663" s="4"/>
      <c r="K663" s="4"/>
      <c r="L663" s="4"/>
      <c r="M663" s="4"/>
      <c r="N663" s="4"/>
      <c r="O663" s="4"/>
      <c r="P663" s="5"/>
    </row>
    <row r="664" spans="4:16" ht="15.75" customHeight="1">
      <c r="D664" s="4"/>
      <c r="E664" s="4"/>
      <c r="F664" s="4"/>
      <c r="G664" s="49"/>
      <c r="H664" s="4"/>
      <c r="I664" s="4"/>
      <c r="J664" s="4"/>
      <c r="K664" s="4"/>
      <c r="L664" s="4"/>
      <c r="M664" s="4"/>
      <c r="N664" s="4"/>
      <c r="O664" s="4"/>
      <c r="P664" s="5"/>
    </row>
    <row r="665" spans="4:16" ht="15.75" customHeight="1">
      <c r="D665" s="4"/>
      <c r="E665" s="4"/>
      <c r="F665" s="4"/>
      <c r="G665" s="49"/>
      <c r="H665" s="4"/>
      <c r="I665" s="4"/>
      <c r="J665" s="4"/>
      <c r="K665" s="4"/>
      <c r="L665" s="4"/>
      <c r="M665" s="4"/>
      <c r="N665" s="4"/>
      <c r="O665" s="4"/>
      <c r="P665" s="5"/>
    </row>
    <row r="666" spans="4:16" ht="15.75" customHeight="1">
      <c r="D666" s="4"/>
      <c r="E666" s="4"/>
      <c r="F666" s="4"/>
      <c r="G666" s="49"/>
      <c r="H666" s="4"/>
      <c r="I666" s="4"/>
      <c r="J666" s="4"/>
      <c r="K666" s="4"/>
      <c r="L666" s="4"/>
      <c r="M666" s="4"/>
      <c r="N666" s="4"/>
      <c r="O666" s="4"/>
      <c r="P666" s="5"/>
    </row>
    <row r="667" spans="4:16" ht="15.75" customHeight="1">
      <c r="D667" s="4"/>
      <c r="E667" s="4"/>
      <c r="F667" s="4"/>
      <c r="G667" s="49"/>
      <c r="H667" s="4"/>
      <c r="I667" s="4"/>
      <c r="J667" s="4"/>
      <c r="K667" s="4"/>
      <c r="L667" s="4"/>
      <c r="M667" s="4"/>
      <c r="N667" s="4"/>
      <c r="O667" s="4"/>
      <c r="P667" s="5"/>
    </row>
    <row r="668" spans="4:16" ht="15.75" customHeight="1">
      <c r="D668" s="4"/>
      <c r="E668" s="4"/>
      <c r="F668" s="4"/>
      <c r="G668" s="49"/>
      <c r="H668" s="4"/>
      <c r="I668" s="4"/>
      <c r="J668" s="4"/>
      <c r="K668" s="4"/>
      <c r="L668" s="4"/>
      <c r="M668" s="4"/>
      <c r="N668" s="4"/>
      <c r="O668" s="4"/>
      <c r="P668" s="5"/>
    </row>
    <row r="669" spans="4:16" ht="15.75" customHeight="1">
      <c r="D669" s="4"/>
      <c r="E669" s="4"/>
      <c r="F669" s="4"/>
      <c r="G669" s="49"/>
      <c r="H669" s="4"/>
      <c r="I669" s="4"/>
      <c r="J669" s="4"/>
      <c r="K669" s="4"/>
      <c r="L669" s="4"/>
      <c r="M669" s="4"/>
      <c r="N669" s="4"/>
      <c r="O669" s="4"/>
      <c r="P669" s="5"/>
    </row>
    <row r="670" spans="4:16" ht="15.75" customHeight="1">
      <c r="D670" s="4"/>
      <c r="E670" s="4"/>
      <c r="F670" s="4"/>
      <c r="G670" s="49"/>
      <c r="H670" s="4"/>
      <c r="I670" s="4"/>
      <c r="J670" s="4"/>
      <c r="K670" s="4"/>
      <c r="L670" s="4"/>
      <c r="M670" s="4"/>
      <c r="N670" s="4"/>
      <c r="O670" s="4"/>
      <c r="P670" s="5"/>
    </row>
    <row r="671" spans="4:16" ht="15.75" customHeight="1">
      <c r="D671" s="4"/>
      <c r="E671" s="4"/>
      <c r="F671" s="4"/>
      <c r="G671" s="49"/>
      <c r="H671" s="4"/>
      <c r="I671" s="4"/>
      <c r="J671" s="4"/>
      <c r="K671" s="4"/>
      <c r="L671" s="4"/>
      <c r="M671" s="4"/>
      <c r="N671" s="4"/>
      <c r="O671" s="4"/>
      <c r="P671" s="5"/>
    </row>
    <row r="672" spans="4:16" ht="15.75" customHeight="1">
      <c r="D672" s="4"/>
      <c r="E672" s="4"/>
      <c r="F672" s="4"/>
      <c r="G672" s="49"/>
      <c r="H672" s="4"/>
      <c r="I672" s="4"/>
      <c r="J672" s="4"/>
      <c r="K672" s="4"/>
      <c r="L672" s="4"/>
      <c r="M672" s="4"/>
      <c r="N672" s="4"/>
      <c r="O672" s="4"/>
      <c r="P672" s="5"/>
    </row>
    <row r="673" spans="4:16" ht="15.75" customHeight="1">
      <c r="D673" s="4"/>
      <c r="E673" s="4"/>
      <c r="F673" s="4"/>
      <c r="G673" s="49"/>
      <c r="H673" s="4"/>
      <c r="I673" s="4"/>
      <c r="J673" s="4"/>
      <c r="K673" s="4"/>
      <c r="L673" s="4"/>
      <c r="M673" s="4"/>
      <c r="N673" s="4"/>
      <c r="O673" s="4"/>
      <c r="P673" s="5"/>
    </row>
    <row r="674" spans="4:16" ht="15.75" customHeight="1">
      <c r="D674" s="4"/>
      <c r="E674" s="4"/>
      <c r="F674" s="4"/>
      <c r="G674" s="49"/>
      <c r="H674" s="4"/>
      <c r="I674" s="4"/>
      <c r="J674" s="4"/>
      <c r="K674" s="4"/>
      <c r="L674" s="4"/>
      <c r="M674" s="4"/>
      <c r="N674" s="4"/>
      <c r="O674" s="4"/>
      <c r="P674" s="5"/>
    </row>
    <row r="675" spans="4:16" ht="15.75" customHeight="1">
      <c r="D675" s="4"/>
      <c r="E675" s="4"/>
      <c r="F675" s="4"/>
      <c r="G675" s="49"/>
      <c r="H675" s="4"/>
      <c r="I675" s="4"/>
      <c r="J675" s="4"/>
      <c r="K675" s="4"/>
      <c r="L675" s="4"/>
      <c r="M675" s="4"/>
      <c r="N675" s="4"/>
      <c r="O675" s="4"/>
      <c r="P675" s="5"/>
    </row>
    <row r="676" spans="4:16" ht="15.75" customHeight="1">
      <c r="D676" s="4"/>
      <c r="E676" s="4"/>
      <c r="F676" s="4"/>
      <c r="G676" s="49"/>
      <c r="H676" s="4"/>
      <c r="I676" s="4"/>
      <c r="J676" s="4"/>
      <c r="K676" s="4"/>
      <c r="L676" s="4"/>
      <c r="M676" s="4"/>
      <c r="N676" s="4"/>
      <c r="O676" s="4"/>
      <c r="P676" s="5"/>
    </row>
    <row r="677" spans="4:16" ht="15.75" customHeight="1">
      <c r="D677" s="4"/>
      <c r="E677" s="4"/>
      <c r="F677" s="4"/>
      <c r="G677" s="49"/>
      <c r="H677" s="4"/>
      <c r="I677" s="4"/>
      <c r="J677" s="4"/>
      <c r="K677" s="4"/>
      <c r="L677" s="4"/>
      <c r="M677" s="4"/>
      <c r="N677" s="4"/>
      <c r="O677" s="4"/>
      <c r="P677" s="5"/>
    </row>
    <row r="678" spans="4:16" ht="15.75" customHeight="1">
      <c r="D678" s="4"/>
      <c r="E678" s="4"/>
      <c r="F678" s="4"/>
      <c r="G678" s="49"/>
      <c r="H678" s="4"/>
      <c r="I678" s="4"/>
      <c r="J678" s="4"/>
      <c r="K678" s="4"/>
      <c r="L678" s="4"/>
      <c r="M678" s="4"/>
      <c r="N678" s="4"/>
      <c r="O678" s="4"/>
      <c r="P678" s="5"/>
    </row>
    <row r="679" spans="4:16" ht="15.75" customHeight="1">
      <c r="D679" s="4"/>
      <c r="E679" s="4"/>
      <c r="F679" s="4"/>
      <c r="G679" s="49"/>
      <c r="H679" s="4"/>
      <c r="I679" s="4"/>
      <c r="J679" s="4"/>
      <c r="K679" s="4"/>
      <c r="L679" s="4"/>
      <c r="M679" s="4"/>
      <c r="N679" s="4"/>
      <c r="O679" s="4"/>
      <c r="P679" s="5"/>
    </row>
    <row r="680" spans="4:16" ht="15.75" customHeight="1">
      <c r="D680" s="4"/>
      <c r="E680" s="4"/>
      <c r="F680" s="4"/>
      <c r="G680" s="49"/>
      <c r="H680" s="4"/>
      <c r="I680" s="4"/>
      <c r="J680" s="4"/>
      <c r="K680" s="4"/>
      <c r="L680" s="4"/>
      <c r="M680" s="4"/>
      <c r="N680" s="4"/>
      <c r="O680" s="4"/>
      <c r="P680" s="5"/>
    </row>
    <row r="681" spans="4:16" ht="15.75" customHeight="1">
      <c r="D681" s="4"/>
      <c r="E681" s="4"/>
      <c r="F681" s="4"/>
      <c r="G681" s="49"/>
      <c r="H681" s="4"/>
      <c r="I681" s="4"/>
      <c r="J681" s="4"/>
      <c r="K681" s="4"/>
      <c r="L681" s="4"/>
      <c r="M681" s="4"/>
      <c r="N681" s="4"/>
      <c r="O681" s="4"/>
      <c r="P681" s="5"/>
    </row>
    <row r="682" spans="4:16" ht="15.75" customHeight="1">
      <c r="D682" s="4"/>
      <c r="E682" s="4"/>
      <c r="F682" s="4"/>
      <c r="G682" s="49"/>
      <c r="H682" s="4"/>
      <c r="I682" s="4"/>
      <c r="J682" s="4"/>
      <c r="K682" s="4"/>
      <c r="L682" s="4"/>
      <c r="M682" s="4"/>
      <c r="N682" s="4"/>
      <c r="O682" s="4"/>
      <c r="P682" s="5"/>
    </row>
    <row r="683" spans="4:16" ht="15.75" customHeight="1">
      <c r="D683" s="4"/>
      <c r="E683" s="4"/>
      <c r="F683" s="4"/>
      <c r="G683" s="49"/>
      <c r="H683" s="4"/>
      <c r="I683" s="4"/>
      <c r="J683" s="4"/>
      <c r="K683" s="4"/>
      <c r="L683" s="4"/>
      <c r="M683" s="4"/>
      <c r="N683" s="4"/>
      <c r="O683" s="4"/>
      <c r="P683" s="5"/>
    </row>
    <row r="684" spans="4:16" ht="15.75" customHeight="1">
      <c r="D684" s="4"/>
      <c r="E684" s="4"/>
      <c r="F684" s="4"/>
      <c r="G684" s="49"/>
      <c r="H684" s="4"/>
      <c r="I684" s="4"/>
      <c r="J684" s="4"/>
      <c r="K684" s="4"/>
      <c r="L684" s="4"/>
      <c r="M684" s="4"/>
      <c r="N684" s="4"/>
      <c r="O684" s="4"/>
      <c r="P684" s="5"/>
    </row>
    <row r="685" spans="4:16" ht="15.75" customHeight="1">
      <c r="D685" s="4"/>
      <c r="E685" s="4"/>
      <c r="F685" s="4"/>
      <c r="G685" s="49"/>
      <c r="H685" s="4"/>
      <c r="I685" s="4"/>
      <c r="J685" s="4"/>
      <c r="K685" s="4"/>
      <c r="L685" s="4"/>
      <c r="M685" s="4"/>
      <c r="N685" s="4"/>
      <c r="O685" s="4"/>
      <c r="P685" s="5"/>
    </row>
    <row r="686" spans="4:16" ht="15.75" customHeight="1">
      <c r="D686" s="4"/>
      <c r="E686" s="4"/>
      <c r="F686" s="4"/>
      <c r="G686" s="49"/>
      <c r="H686" s="4"/>
      <c r="I686" s="4"/>
      <c r="J686" s="4"/>
      <c r="K686" s="4"/>
      <c r="L686" s="4"/>
      <c r="M686" s="4"/>
      <c r="N686" s="4"/>
      <c r="O686" s="4"/>
      <c r="P686" s="5"/>
    </row>
    <row r="687" spans="4:16" ht="15.75" customHeight="1">
      <c r="D687" s="4"/>
      <c r="E687" s="4"/>
      <c r="F687" s="4"/>
      <c r="G687" s="49"/>
      <c r="H687" s="4"/>
      <c r="I687" s="4"/>
      <c r="J687" s="4"/>
      <c r="K687" s="4"/>
      <c r="L687" s="4"/>
      <c r="M687" s="4"/>
      <c r="N687" s="4"/>
      <c r="O687" s="4"/>
      <c r="P687" s="5"/>
    </row>
    <row r="688" spans="4:16" ht="15.75" customHeight="1">
      <c r="D688" s="4"/>
      <c r="E688" s="4"/>
      <c r="F688" s="4"/>
      <c r="G688" s="49"/>
      <c r="H688" s="4"/>
      <c r="I688" s="4"/>
      <c r="J688" s="4"/>
      <c r="K688" s="4"/>
      <c r="L688" s="4"/>
      <c r="M688" s="4"/>
      <c r="N688" s="4"/>
      <c r="O688" s="4"/>
      <c r="P688" s="5"/>
    </row>
    <row r="689" spans="4:16" ht="15.75" customHeight="1">
      <c r="D689" s="4"/>
      <c r="E689" s="4"/>
      <c r="F689" s="4"/>
      <c r="G689" s="49"/>
      <c r="H689" s="4"/>
      <c r="I689" s="4"/>
      <c r="J689" s="4"/>
      <c r="K689" s="4"/>
      <c r="L689" s="4"/>
      <c r="M689" s="4"/>
      <c r="N689" s="4"/>
      <c r="O689" s="4"/>
      <c r="P689" s="5"/>
    </row>
    <row r="690" spans="4:16" ht="15.75" customHeight="1">
      <c r="D690" s="4"/>
      <c r="E690" s="4"/>
      <c r="F690" s="4"/>
      <c r="G690" s="49"/>
      <c r="H690" s="4"/>
      <c r="I690" s="4"/>
      <c r="J690" s="4"/>
      <c r="K690" s="4"/>
      <c r="L690" s="4"/>
      <c r="M690" s="4"/>
      <c r="N690" s="4"/>
      <c r="O690" s="4"/>
      <c r="P690" s="5"/>
    </row>
    <row r="691" spans="4:16" ht="15.75" customHeight="1">
      <c r="D691" s="4"/>
      <c r="E691" s="4"/>
      <c r="F691" s="4"/>
      <c r="G691" s="49"/>
      <c r="H691" s="4"/>
      <c r="I691" s="4"/>
      <c r="J691" s="4"/>
      <c r="K691" s="4"/>
      <c r="L691" s="4"/>
      <c r="M691" s="4"/>
      <c r="N691" s="4"/>
      <c r="O691" s="4"/>
      <c r="P691" s="5"/>
    </row>
    <row r="692" spans="4:16" ht="15.75" customHeight="1">
      <c r="D692" s="4"/>
      <c r="E692" s="4"/>
      <c r="F692" s="4"/>
      <c r="G692" s="49"/>
      <c r="H692" s="4"/>
      <c r="I692" s="4"/>
      <c r="J692" s="4"/>
      <c r="K692" s="4"/>
      <c r="L692" s="4"/>
      <c r="M692" s="4"/>
      <c r="N692" s="4"/>
      <c r="O692" s="4"/>
      <c r="P692" s="5"/>
    </row>
    <row r="693" spans="4:16" ht="15.75" customHeight="1">
      <c r="D693" s="4"/>
      <c r="E693" s="4"/>
      <c r="F693" s="4"/>
      <c r="G693" s="49"/>
      <c r="H693" s="4"/>
      <c r="I693" s="4"/>
      <c r="J693" s="4"/>
      <c r="K693" s="4"/>
      <c r="L693" s="4"/>
      <c r="M693" s="4"/>
      <c r="N693" s="4"/>
      <c r="O693" s="4"/>
      <c r="P693" s="5"/>
    </row>
    <row r="694" spans="4:16" ht="15.75" customHeight="1">
      <c r="D694" s="4"/>
      <c r="E694" s="4"/>
      <c r="F694" s="4"/>
      <c r="G694" s="49"/>
      <c r="H694" s="4"/>
      <c r="I694" s="4"/>
      <c r="J694" s="4"/>
      <c r="K694" s="4"/>
      <c r="L694" s="4"/>
      <c r="M694" s="4"/>
      <c r="N694" s="4"/>
      <c r="O694" s="4"/>
      <c r="P694" s="5"/>
    </row>
    <row r="695" spans="4:16" ht="15.75" customHeight="1">
      <c r="D695" s="4"/>
      <c r="E695" s="4"/>
      <c r="F695" s="4"/>
      <c r="G695" s="49"/>
      <c r="H695" s="4"/>
      <c r="I695" s="4"/>
      <c r="J695" s="4"/>
      <c r="K695" s="4"/>
      <c r="L695" s="4"/>
      <c r="M695" s="4"/>
      <c r="N695" s="4"/>
      <c r="O695" s="4"/>
      <c r="P695" s="5"/>
    </row>
    <row r="696" spans="4:16" ht="15.75" customHeight="1">
      <c r="D696" s="4"/>
      <c r="E696" s="4"/>
      <c r="F696" s="4"/>
      <c r="G696" s="49"/>
      <c r="H696" s="4"/>
      <c r="I696" s="4"/>
      <c r="J696" s="4"/>
      <c r="K696" s="4"/>
      <c r="L696" s="4"/>
      <c r="M696" s="4"/>
      <c r="N696" s="4"/>
      <c r="O696" s="4"/>
      <c r="P696" s="5"/>
    </row>
    <row r="697" spans="4:16" ht="15.75" customHeight="1">
      <c r="D697" s="4"/>
      <c r="E697" s="4"/>
      <c r="F697" s="4"/>
      <c r="G697" s="49"/>
      <c r="H697" s="4"/>
      <c r="I697" s="4"/>
      <c r="J697" s="4"/>
      <c r="K697" s="4"/>
      <c r="L697" s="4"/>
      <c r="M697" s="4"/>
      <c r="N697" s="4"/>
      <c r="O697" s="4"/>
      <c r="P697" s="5"/>
    </row>
    <row r="698" spans="4:16" ht="15.75" customHeight="1">
      <c r="D698" s="4"/>
      <c r="E698" s="4"/>
      <c r="F698" s="4"/>
      <c r="G698" s="49"/>
      <c r="H698" s="4"/>
      <c r="I698" s="4"/>
      <c r="J698" s="4"/>
      <c r="K698" s="4"/>
      <c r="L698" s="4"/>
      <c r="M698" s="4"/>
      <c r="N698" s="4"/>
      <c r="O698" s="4"/>
      <c r="P698" s="5"/>
    </row>
    <row r="699" spans="4:16" ht="15.75" customHeight="1">
      <c r="D699" s="4"/>
      <c r="E699" s="4"/>
      <c r="F699" s="4"/>
      <c r="G699" s="49"/>
      <c r="H699" s="4"/>
      <c r="I699" s="4"/>
      <c r="J699" s="4"/>
      <c r="K699" s="4"/>
      <c r="L699" s="4"/>
      <c r="M699" s="4"/>
      <c r="N699" s="4"/>
      <c r="O699" s="4"/>
      <c r="P699" s="5"/>
    </row>
    <row r="700" spans="4:16" ht="15.75" customHeight="1">
      <c r="D700" s="4"/>
      <c r="E700" s="4"/>
      <c r="F700" s="4"/>
      <c r="G700" s="49"/>
      <c r="H700" s="4"/>
      <c r="I700" s="4"/>
      <c r="J700" s="4"/>
      <c r="K700" s="4"/>
      <c r="L700" s="4"/>
      <c r="M700" s="4"/>
      <c r="N700" s="4"/>
      <c r="O700" s="4"/>
      <c r="P700" s="5"/>
    </row>
    <row r="701" spans="4:16" ht="15.75" customHeight="1">
      <c r="D701" s="4"/>
      <c r="E701" s="4"/>
      <c r="F701" s="4"/>
      <c r="G701" s="49"/>
      <c r="H701" s="4"/>
      <c r="I701" s="4"/>
      <c r="J701" s="4"/>
      <c r="K701" s="4"/>
      <c r="L701" s="4"/>
      <c r="M701" s="4"/>
      <c r="N701" s="4"/>
      <c r="O701" s="4"/>
      <c r="P701" s="5"/>
    </row>
    <row r="702" spans="4:16" ht="15.75" customHeight="1">
      <c r="D702" s="4"/>
      <c r="E702" s="4"/>
      <c r="F702" s="4"/>
      <c r="G702" s="49"/>
      <c r="H702" s="4"/>
      <c r="I702" s="4"/>
      <c r="J702" s="4"/>
      <c r="K702" s="4"/>
      <c r="L702" s="4"/>
      <c r="M702" s="4"/>
      <c r="N702" s="4"/>
      <c r="O702" s="4"/>
      <c r="P702" s="5"/>
    </row>
    <row r="703" spans="4:16" ht="15.75" customHeight="1">
      <c r="D703" s="4"/>
      <c r="E703" s="4"/>
      <c r="F703" s="4"/>
      <c r="G703" s="49"/>
      <c r="H703" s="4"/>
      <c r="I703" s="4"/>
      <c r="J703" s="4"/>
      <c r="K703" s="4"/>
      <c r="L703" s="4"/>
      <c r="M703" s="4"/>
      <c r="N703" s="4"/>
      <c r="O703" s="4"/>
      <c r="P703" s="5"/>
    </row>
    <row r="704" spans="4:16" ht="15.75" customHeight="1">
      <c r="D704" s="4"/>
      <c r="E704" s="4"/>
      <c r="F704" s="4"/>
      <c r="G704" s="49"/>
      <c r="H704" s="4"/>
      <c r="I704" s="4"/>
      <c r="J704" s="4"/>
      <c r="K704" s="4"/>
      <c r="L704" s="4"/>
      <c r="M704" s="4"/>
      <c r="N704" s="4"/>
      <c r="O704" s="4"/>
      <c r="P704" s="5"/>
    </row>
    <row r="705" spans="4:16" ht="15.75" customHeight="1">
      <c r="D705" s="4"/>
      <c r="E705" s="4"/>
      <c r="F705" s="4"/>
      <c r="G705" s="49"/>
      <c r="H705" s="4"/>
      <c r="I705" s="4"/>
      <c r="J705" s="4"/>
      <c r="K705" s="4"/>
      <c r="L705" s="4"/>
      <c r="M705" s="4"/>
      <c r="N705" s="4"/>
      <c r="O705" s="4"/>
      <c r="P705" s="5"/>
    </row>
    <row r="706" spans="4:16" ht="15.75" customHeight="1">
      <c r="D706" s="4"/>
      <c r="E706" s="4"/>
      <c r="F706" s="4"/>
      <c r="G706" s="49"/>
      <c r="H706" s="4"/>
      <c r="I706" s="4"/>
      <c r="J706" s="4"/>
      <c r="K706" s="4"/>
      <c r="L706" s="4"/>
      <c r="M706" s="4"/>
      <c r="N706" s="4"/>
      <c r="O706" s="4"/>
      <c r="P706" s="5"/>
    </row>
    <row r="707" spans="4:16" ht="15.75" customHeight="1">
      <c r="D707" s="4"/>
      <c r="E707" s="4"/>
      <c r="F707" s="4"/>
      <c r="G707" s="49"/>
      <c r="H707" s="4"/>
      <c r="I707" s="4"/>
      <c r="J707" s="4"/>
      <c r="K707" s="4"/>
      <c r="L707" s="4"/>
      <c r="M707" s="4"/>
      <c r="N707" s="4"/>
      <c r="O707" s="4"/>
      <c r="P707" s="5"/>
    </row>
    <row r="708" spans="4:16" ht="15.75" customHeight="1">
      <c r="D708" s="4"/>
      <c r="E708" s="4"/>
      <c r="F708" s="4"/>
      <c r="G708" s="49"/>
      <c r="H708" s="4"/>
      <c r="I708" s="4"/>
      <c r="J708" s="4"/>
      <c r="K708" s="4"/>
      <c r="L708" s="4"/>
      <c r="M708" s="4"/>
      <c r="N708" s="4"/>
      <c r="O708" s="4"/>
      <c r="P708" s="5"/>
    </row>
    <row r="709" spans="4:16" ht="15.75" customHeight="1">
      <c r="D709" s="4"/>
      <c r="E709" s="4"/>
      <c r="F709" s="4"/>
      <c r="G709" s="49"/>
      <c r="H709" s="4"/>
      <c r="I709" s="4"/>
      <c r="J709" s="4"/>
      <c r="K709" s="4"/>
      <c r="L709" s="4"/>
      <c r="M709" s="4"/>
      <c r="N709" s="4"/>
      <c r="O709" s="4"/>
      <c r="P709" s="5"/>
    </row>
    <row r="710" spans="4:16" ht="15.75" customHeight="1">
      <c r="D710" s="4"/>
      <c r="E710" s="4"/>
      <c r="F710" s="4"/>
      <c r="G710" s="49"/>
      <c r="H710" s="4"/>
      <c r="I710" s="4"/>
      <c r="J710" s="4"/>
      <c r="K710" s="4"/>
      <c r="L710" s="4"/>
      <c r="M710" s="4"/>
      <c r="N710" s="4"/>
      <c r="O710" s="4"/>
      <c r="P710" s="5"/>
    </row>
    <row r="711" spans="4:16" ht="15.75" customHeight="1">
      <c r="D711" s="4"/>
      <c r="E711" s="4"/>
      <c r="F711" s="4"/>
      <c r="G711" s="49"/>
      <c r="H711" s="4"/>
      <c r="I711" s="4"/>
      <c r="J711" s="4"/>
      <c r="K711" s="4"/>
      <c r="L711" s="4"/>
      <c r="M711" s="4"/>
      <c r="N711" s="4"/>
      <c r="O711" s="4"/>
      <c r="P711" s="5"/>
    </row>
    <row r="712" spans="4:16" ht="15.75" customHeight="1">
      <c r="D712" s="4"/>
      <c r="E712" s="4"/>
      <c r="F712" s="4"/>
      <c r="G712" s="49"/>
      <c r="H712" s="4"/>
      <c r="I712" s="4"/>
      <c r="J712" s="4"/>
      <c r="K712" s="4"/>
      <c r="L712" s="4"/>
      <c r="M712" s="4"/>
      <c r="N712" s="4"/>
      <c r="O712" s="4"/>
      <c r="P712" s="5"/>
    </row>
    <row r="713" spans="4:16" ht="15.75" customHeight="1">
      <c r="D713" s="4"/>
      <c r="E713" s="4"/>
      <c r="F713" s="4"/>
      <c r="G713" s="49"/>
      <c r="H713" s="4"/>
      <c r="I713" s="4"/>
      <c r="J713" s="4"/>
      <c r="K713" s="4"/>
      <c r="L713" s="4"/>
      <c r="M713" s="4"/>
      <c r="N713" s="4"/>
      <c r="O713" s="4"/>
      <c r="P713" s="5"/>
    </row>
    <row r="714" spans="4:16" ht="15.75" customHeight="1">
      <c r="D714" s="4"/>
      <c r="E714" s="4"/>
      <c r="F714" s="4"/>
      <c r="G714" s="49"/>
      <c r="H714" s="4"/>
      <c r="I714" s="4"/>
      <c r="J714" s="4"/>
      <c r="K714" s="4"/>
      <c r="L714" s="4"/>
      <c r="M714" s="4"/>
      <c r="N714" s="4"/>
      <c r="O714" s="4"/>
      <c r="P714" s="5"/>
    </row>
    <row r="715" spans="4:16" ht="15.75" customHeight="1">
      <c r="D715" s="4"/>
      <c r="E715" s="4"/>
      <c r="F715" s="4"/>
      <c r="G715" s="49"/>
      <c r="H715" s="4"/>
      <c r="I715" s="4"/>
      <c r="J715" s="4"/>
      <c r="K715" s="4"/>
      <c r="L715" s="4"/>
      <c r="M715" s="4"/>
      <c r="N715" s="4"/>
      <c r="O715" s="4"/>
      <c r="P715" s="5"/>
    </row>
    <row r="716" spans="4:16" ht="15.75" customHeight="1">
      <c r="D716" s="4"/>
      <c r="E716" s="4"/>
      <c r="F716" s="4"/>
      <c r="G716" s="49"/>
      <c r="H716" s="4"/>
      <c r="I716" s="4"/>
      <c r="J716" s="4"/>
      <c r="K716" s="4"/>
      <c r="L716" s="4"/>
      <c r="M716" s="4"/>
      <c r="N716" s="4"/>
      <c r="O716" s="4"/>
      <c r="P716" s="5"/>
    </row>
    <row r="717" spans="4:16" ht="15.75" customHeight="1">
      <c r="D717" s="4"/>
      <c r="E717" s="4"/>
      <c r="F717" s="4"/>
      <c r="G717" s="49"/>
      <c r="H717" s="4"/>
      <c r="I717" s="4"/>
      <c r="J717" s="4"/>
      <c r="K717" s="4"/>
      <c r="L717" s="4"/>
      <c r="M717" s="4"/>
      <c r="N717" s="4"/>
      <c r="O717" s="4"/>
      <c r="P717" s="5"/>
    </row>
    <row r="718" spans="4:16" ht="15.75" customHeight="1">
      <c r="D718" s="4"/>
      <c r="E718" s="4"/>
      <c r="F718" s="4"/>
      <c r="G718" s="49"/>
      <c r="H718" s="4"/>
      <c r="I718" s="4"/>
      <c r="J718" s="4"/>
      <c r="K718" s="4"/>
      <c r="L718" s="4"/>
      <c r="M718" s="4"/>
      <c r="N718" s="4"/>
      <c r="O718" s="4"/>
      <c r="P718" s="5"/>
    </row>
    <row r="719" spans="4:16" ht="15.75" customHeight="1">
      <c r="D719" s="4"/>
      <c r="E719" s="4"/>
      <c r="F719" s="4"/>
      <c r="G719" s="49"/>
      <c r="H719" s="4"/>
      <c r="I719" s="4"/>
      <c r="J719" s="4"/>
      <c r="K719" s="4"/>
      <c r="L719" s="4"/>
      <c r="M719" s="4"/>
      <c r="N719" s="4"/>
      <c r="O719" s="4"/>
      <c r="P719" s="5"/>
    </row>
    <row r="720" spans="4:16" ht="15.75" customHeight="1">
      <c r="D720" s="4"/>
      <c r="E720" s="4"/>
      <c r="F720" s="4"/>
      <c r="G720" s="49"/>
      <c r="H720" s="4"/>
      <c r="I720" s="4"/>
      <c r="J720" s="4"/>
      <c r="K720" s="4"/>
      <c r="L720" s="4"/>
      <c r="M720" s="4"/>
      <c r="N720" s="4"/>
      <c r="O720" s="4"/>
      <c r="P720" s="5"/>
    </row>
    <row r="721" spans="4:16" ht="15.75" customHeight="1">
      <c r="D721" s="4"/>
      <c r="E721" s="4"/>
      <c r="F721" s="4"/>
      <c r="G721" s="49"/>
      <c r="H721" s="4"/>
      <c r="I721" s="4"/>
      <c r="J721" s="4"/>
      <c r="K721" s="4"/>
      <c r="L721" s="4"/>
      <c r="M721" s="4"/>
      <c r="N721" s="4"/>
      <c r="O721" s="4"/>
      <c r="P721" s="5"/>
    </row>
    <row r="722" spans="4:16" ht="15.75" customHeight="1">
      <c r="D722" s="4"/>
      <c r="E722" s="4"/>
      <c r="F722" s="4"/>
      <c r="G722" s="49"/>
      <c r="H722" s="4"/>
      <c r="I722" s="4"/>
      <c r="J722" s="4"/>
      <c r="K722" s="4"/>
      <c r="L722" s="4"/>
      <c r="M722" s="4"/>
      <c r="N722" s="4"/>
      <c r="O722" s="4"/>
      <c r="P722" s="5"/>
    </row>
    <row r="723" spans="4:16" ht="15.75" customHeight="1">
      <c r="D723" s="4"/>
      <c r="E723" s="4"/>
      <c r="F723" s="4"/>
      <c r="G723" s="49"/>
      <c r="H723" s="4"/>
      <c r="I723" s="4"/>
      <c r="J723" s="4"/>
      <c r="K723" s="4"/>
      <c r="L723" s="4"/>
      <c r="M723" s="4"/>
      <c r="N723" s="4"/>
      <c r="O723" s="4"/>
      <c r="P723" s="5"/>
    </row>
    <row r="724" spans="4:16" ht="15.75" customHeight="1">
      <c r="D724" s="4"/>
      <c r="E724" s="4"/>
      <c r="F724" s="4"/>
      <c r="G724" s="49"/>
      <c r="H724" s="4"/>
      <c r="I724" s="4"/>
      <c r="J724" s="4"/>
      <c r="K724" s="4"/>
      <c r="L724" s="4"/>
      <c r="M724" s="4"/>
      <c r="N724" s="4"/>
      <c r="O724" s="4"/>
      <c r="P724" s="5"/>
    </row>
    <row r="725" spans="4:16" ht="15.75" customHeight="1">
      <c r="D725" s="4"/>
      <c r="E725" s="4"/>
      <c r="F725" s="4"/>
      <c r="G725" s="49"/>
      <c r="H725" s="4"/>
      <c r="I725" s="4"/>
      <c r="J725" s="4"/>
      <c r="K725" s="4"/>
      <c r="L725" s="4"/>
      <c r="M725" s="4"/>
      <c r="N725" s="4"/>
      <c r="O725" s="4"/>
      <c r="P725" s="5"/>
    </row>
    <row r="726" spans="4:16" ht="15.75" customHeight="1">
      <c r="D726" s="4"/>
      <c r="E726" s="4"/>
      <c r="F726" s="4"/>
      <c r="G726" s="49"/>
      <c r="H726" s="4"/>
      <c r="I726" s="4"/>
      <c r="J726" s="4"/>
      <c r="K726" s="4"/>
      <c r="L726" s="4"/>
      <c r="M726" s="4"/>
      <c r="N726" s="4"/>
      <c r="O726" s="4"/>
      <c r="P726" s="5"/>
    </row>
    <row r="727" spans="4:16" ht="15.75" customHeight="1">
      <c r="D727" s="4"/>
      <c r="E727" s="4"/>
      <c r="F727" s="4"/>
      <c r="G727" s="49"/>
      <c r="H727" s="4"/>
      <c r="I727" s="4"/>
      <c r="J727" s="4"/>
      <c r="K727" s="4"/>
      <c r="L727" s="4"/>
      <c r="M727" s="4"/>
      <c r="N727" s="4"/>
      <c r="O727" s="4"/>
      <c r="P727" s="5"/>
    </row>
    <row r="728" spans="4:16" ht="15.75" customHeight="1">
      <c r="D728" s="4"/>
      <c r="E728" s="4"/>
      <c r="F728" s="4"/>
      <c r="G728" s="49"/>
      <c r="H728" s="4"/>
      <c r="I728" s="4"/>
      <c r="J728" s="4"/>
      <c r="K728" s="4"/>
      <c r="L728" s="4"/>
      <c r="M728" s="4"/>
      <c r="N728" s="4"/>
      <c r="O728" s="4"/>
      <c r="P728" s="5"/>
    </row>
    <row r="729" spans="4:16" ht="15.75" customHeight="1">
      <c r="D729" s="4"/>
      <c r="E729" s="4"/>
      <c r="F729" s="4"/>
      <c r="G729" s="49"/>
      <c r="H729" s="4"/>
      <c r="I729" s="4"/>
      <c r="J729" s="4"/>
      <c r="K729" s="4"/>
      <c r="L729" s="4"/>
      <c r="M729" s="4"/>
      <c r="N729" s="4"/>
      <c r="O729" s="4"/>
      <c r="P729" s="5"/>
    </row>
    <row r="730" spans="4:16" ht="15.75" customHeight="1">
      <c r="D730" s="4"/>
      <c r="E730" s="4"/>
      <c r="F730" s="4"/>
      <c r="G730" s="49"/>
      <c r="H730" s="4"/>
      <c r="I730" s="4"/>
      <c r="J730" s="4"/>
      <c r="K730" s="4"/>
      <c r="L730" s="4"/>
      <c r="M730" s="4"/>
      <c r="N730" s="4"/>
      <c r="O730" s="4"/>
      <c r="P730" s="5"/>
    </row>
    <row r="731" spans="4:16" ht="15.75" customHeight="1">
      <c r="D731" s="4"/>
      <c r="E731" s="4"/>
      <c r="F731" s="4"/>
      <c r="G731" s="49"/>
      <c r="H731" s="4"/>
      <c r="I731" s="4"/>
      <c r="J731" s="4"/>
      <c r="K731" s="4"/>
      <c r="L731" s="4"/>
      <c r="M731" s="4"/>
      <c r="N731" s="4"/>
      <c r="O731" s="4"/>
      <c r="P731" s="5"/>
    </row>
    <row r="732" spans="4:16" ht="15.75" customHeight="1">
      <c r="D732" s="4"/>
      <c r="E732" s="4"/>
      <c r="F732" s="4"/>
      <c r="G732" s="49"/>
      <c r="H732" s="4"/>
      <c r="I732" s="4"/>
      <c r="J732" s="4"/>
      <c r="K732" s="4"/>
      <c r="L732" s="4"/>
      <c r="M732" s="4"/>
      <c r="N732" s="4"/>
      <c r="O732" s="4"/>
      <c r="P732" s="5"/>
    </row>
    <row r="733" spans="4:16" ht="15.75" customHeight="1">
      <c r="D733" s="4"/>
      <c r="E733" s="4"/>
      <c r="F733" s="4"/>
      <c r="G733" s="49"/>
      <c r="H733" s="4"/>
      <c r="I733" s="4"/>
      <c r="J733" s="4"/>
      <c r="K733" s="4"/>
      <c r="L733" s="4"/>
      <c r="M733" s="4"/>
      <c r="N733" s="4"/>
      <c r="O733" s="4"/>
      <c r="P733" s="5"/>
    </row>
    <row r="734" spans="4:16" ht="15.75" customHeight="1">
      <c r="D734" s="4"/>
      <c r="E734" s="4"/>
      <c r="F734" s="4"/>
      <c r="G734" s="49"/>
      <c r="H734" s="4"/>
      <c r="I734" s="4"/>
      <c r="J734" s="4"/>
      <c r="K734" s="4"/>
      <c r="L734" s="4"/>
      <c r="M734" s="4"/>
      <c r="N734" s="4"/>
      <c r="O734" s="4"/>
      <c r="P734" s="5"/>
    </row>
    <row r="735" spans="4:16" ht="15.75" customHeight="1">
      <c r="D735" s="4"/>
      <c r="E735" s="4"/>
      <c r="F735" s="4"/>
      <c r="G735" s="49"/>
      <c r="H735" s="4"/>
      <c r="I735" s="4"/>
      <c r="J735" s="4"/>
      <c r="K735" s="4"/>
      <c r="L735" s="4"/>
      <c r="M735" s="4"/>
      <c r="N735" s="4"/>
      <c r="O735" s="4"/>
      <c r="P735" s="5"/>
    </row>
    <row r="736" spans="4:16" ht="15.75" customHeight="1">
      <c r="D736" s="4"/>
      <c r="E736" s="4"/>
      <c r="F736" s="4"/>
      <c r="G736" s="49"/>
      <c r="H736" s="4"/>
      <c r="I736" s="4"/>
      <c r="J736" s="4"/>
      <c r="K736" s="4"/>
      <c r="L736" s="4"/>
      <c r="M736" s="4"/>
      <c r="N736" s="4"/>
      <c r="O736" s="4"/>
      <c r="P736" s="5"/>
    </row>
    <row r="737" spans="4:16" ht="15.75" customHeight="1">
      <c r="D737" s="4"/>
      <c r="E737" s="4"/>
      <c r="F737" s="4"/>
      <c r="G737" s="49"/>
      <c r="H737" s="4"/>
      <c r="I737" s="4"/>
      <c r="J737" s="4"/>
      <c r="K737" s="4"/>
      <c r="L737" s="4"/>
      <c r="M737" s="4"/>
      <c r="N737" s="4"/>
      <c r="O737" s="4"/>
      <c r="P737" s="5"/>
    </row>
    <row r="738" spans="4:16" ht="15.75" customHeight="1">
      <c r="D738" s="4"/>
      <c r="E738" s="4"/>
      <c r="F738" s="4"/>
      <c r="G738" s="49"/>
      <c r="H738" s="4"/>
      <c r="I738" s="4"/>
      <c r="J738" s="4"/>
      <c r="K738" s="4"/>
      <c r="L738" s="4"/>
      <c r="M738" s="4"/>
      <c r="N738" s="4"/>
      <c r="O738" s="4"/>
      <c r="P738" s="5"/>
    </row>
    <row r="739" spans="4:16" ht="15.75" customHeight="1">
      <c r="D739" s="4"/>
      <c r="E739" s="4"/>
      <c r="F739" s="4"/>
      <c r="G739" s="49"/>
      <c r="H739" s="4"/>
      <c r="I739" s="4"/>
      <c r="J739" s="4"/>
      <c r="K739" s="4"/>
      <c r="L739" s="4"/>
      <c r="M739" s="4"/>
      <c r="N739" s="4"/>
      <c r="O739" s="4"/>
      <c r="P739" s="5"/>
    </row>
    <row r="740" spans="4:16" ht="15.75" customHeight="1">
      <c r="D740" s="4"/>
      <c r="E740" s="4"/>
      <c r="F740" s="4"/>
      <c r="G740" s="49"/>
      <c r="H740" s="4"/>
      <c r="I740" s="4"/>
      <c r="J740" s="4"/>
      <c r="K740" s="4"/>
      <c r="L740" s="4"/>
      <c r="M740" s="4"/>
      <c r="N740" s="4"/>
      <c r="O740" s="4"/>
      <c r="P740" s="5"/>
    </row>
    <row r="741" spans="4:16" ht="15.75" customHeight="1">
      <c r="D741" s="4"/>
      <c r="E741" s="4"/>
      <c r="F741" s="4"/>
      <c r="G741" s="49"/>
      <c r="H741" s="4"/>
      <c r="I741" s="4"/>
      <c r="J741" s="4"/>
      <c r="K741" s="4"/>
      <c r="L741" s="4"/>
      <c r="M741" s="4"/>
      <c r="N741" s="4"/>
      <c r="O741" s="4"/>
      <c r="P741" s="5"/>
    </row>
    <row r="742" spans="4:16" ht="15.75" customHeight="1">
      <c r="D742" s="4"/>
      <c r="E742" s="4"/>
      <c r="F742" s="4"/>
      <c r="G742" s="49"/>
      <c r="H742" s="4"/>
      <c r="I742" s="4"/>
      <c r="J742" s="4"/>
      <c r="K742" s="4"/>
      <c r="L742" s="4"/>
      <c r="M742" s="4"/>
      <c r="N742" s="4"/>
      <c r="O742" s="4"/>
      <c r="P742" s="5"/>
    </row>
    <row r="743" spans="4:16" ht="15.75" customHeight="1">
      <c r="D743" s="4"/>
      <c r="E743" s="4"/>
      <c r="F743" s="4"/>
      <c r="G743" s="49"/>
      <c r="H743" s="4"/>
      <c r="I743" s="4"/>
      <c r="J743" s="4"/>
      <c r="K743" s="4"/>
      <c r="L743" s="4"/>
      <c r="M743" s="4"/>
      <c r="N743" s="4"/>
      <c r="O743" s="4"/>
      <c r="P743" s="5"/>
    </row>
    <row r="744" spans="4:16" ht="15.75" customHeight="1">
      <c r="D744" s="4"/>
      <c r="E744" s="4"/>
      <c r="F744" s="4"/>
      <c r="G744" s="49"/>
      <c r="H744" s="4"/>
      <c r="I744" s="4"/>
      <c r="J744" s="4"/>
      <c r="K744" s="4"/>
      <c r="L744" s="4"/>
      <c r="M744" s="4"/>
      <c r="N744" s="4"/>
      <c r="O744" s="4"/>
      <c r="P744" s="5"/>
    </row>
    <row r="745" spans="4:16" ht="15.75" customHeight="1">
      <c r="D745" s="4"/>
      <c r="E745" s="4"/>
      <c r="F745" s="4"/>
      <c r="G745" s="49"/>
      <c r="H745" s="4"/>
      <c r="I745" s="4"/>
      <c r="J745" s="4"/>
      <c r="K745" s="4"/>
      <c r="L745" s="4"/>
      <c r="M745" s="4"/>
      <c r="N745" s="4"/>
      <c r="O745" s="4"/>
      <c r="P745" s="5"/>
    </row>
    <row r="746" spans="4:16" ht="15.75" customHeight="1">
      <c r="D746" s="4"/>
      <c r="E746" s="4"/>
      <c r="F746" s="4"/>
      <c r="G746" s="49"/>
      <c r="H746" s="4"/>
      <c r="I746" s="4"/>
      <c r="J746" s="4"/>
      <c r="K746" s="4"/>
      <c r="L746" s="4"/>
      <c r="M746" s="4"/>
      <c r="N746" s="4"/>
      <c r="O746" s="4"/>
      <c r="P746" s="5"/>
    </row>
    <row r="747" spans="4:16" ht="15.75" customHeight="1">
      <c r="D747" s="4"/>
      <c r="E747" s="4"/>
      <c r="F747" s="4"/>
      <c r="G747" s="49"/>
      <c r="H747" s="4"/>
      <c r="I747" s="4"/>
      <c r="J747" s="4"/>
      <c r="K747" s="4"/>
      <c r="L747" s="4"/>
      <c r="M747" s="4"/>
      <c r="N747" s="4"/>
      <c r="O747" s="4"/>
      <c r="P747" s="5"/>
    </row>
    <row r="748" spans="4:16" ht="15.75" customHeight="1">
      <c r="D748" s="4"/>
      <c r="E748" s="4"/>
      <c r="F748" s="4"/>
      <c r="G748" s="49"/>
      <c r="H748" s="4"/>
      <c r="I748" s="4"/>
      <c r="J748" s="4"/>
      <c r="K748" s="4"/>
      <c r="L748" s="4"/>
      <c r="M748" s="4"/>
      <c r="N748" s="4"/>
      <c r="O748" s="4"/>
      <c r="P748" s="5"/>
    </row>
    <row r="749" spans="4:16" ht="15.75" customHeight="1">
      <c r="D749" s="4"/>
      <c r="E749" s="4"/>
      <c r="F749" s="4"/>
      <c r="G749" s="49"/>
      <c r="H749" s="4"/>
      <c r="I749" s="4"/>
      <c r="J749" s="4"/>
      <c r="K749" s="4"/>
      <c r="L749" s="4"/>
      <c r="M749" s="4"/>
      <c r="N749" s="4"/>
      <c r="O749" s="4"/>
      <c r="P749" s="5"/>
    </row>
    <row r="750" spans="4:16" ht="15.75" customHeight="1">
      <c r="D750" s="4"/>
      <c r="E750" s="4"/>
      <c r="F750" s="4"/>
      <c r="G750" s="49"/>
      <c r="H750" s="4"/>
      <c r="I750" s="4"/>
      <c r="J750" s="4"/>
      <c r="K750" s="4"/>
      <c r="L750" s="4"/>
      <c r="M750" s="4"/>
      <c r="N750" s="4"/>
      <c r="O750" s="4"/>
      <c r="P750" s="5"/>
    </row>
    <row r="751" spans="4:16" ht="15.75" customHeight="1">
      <c r="D751" s="4"/>
      <c r="E751" s="4"/>
      <c r="F751" s="4"/>
      <c r="G751" s="49"/>
      <c r="H751" s="4"/>
      <c r="I751" s="4"/>
      <c r="J751" s="4"/>
      <c r="K751" s="4"/>
      <c r="L751" s="4"/>
      <c r="M751" s="4"/>
      <c r="N751" s="4"/>
      <c r="O751" s="4"/>
      <c r="P751" s="5"/>
    </row>
    <row r="752" spans="4:16" ht="15.75" customHeight="1">
      <c r="D752" s="4"/>
      <c r="E752" s="4"/>
      <c r="F752" s="4"/>
      <c r="G752" s="49"/>
      <c r="H752" s="4"/>
      <c r="I752" s="4"/>
      <c r="J752" s="4"/>
      <c r="K752" s="4"/>
      <c r="L752" s="4"/>
      <c r="M752" s="4"/>
      <c r="N752" s="4"/>
      <c r="O752" s="4"/>
      <c r="P752" s="5"/>
    </row>
    <row r="753" spans="4:16" ht="15.75" customHeight="1">
      <c r="D753" s="4"/>
      <c r="E753" s="4"/>
      <c r="F753" s="4"/>
      <c r="G753" s="49"/>
      <c r="H753" s="4"/>
      <c r="I753" s="4"/>
      <c r="J753" s="4"/>
      <c r="K753" s="4"/>
      <c r="L753" s="4"/>
      <c r="M753" s="4"/>
      <c r="N753" s="4"/>
      <c r="O753" s="4"/>
      <c r="P753" s="5"/>
    </row>
    <row r="754" spans="4:16" ht="15.75" customHeight="1">
      <c r="D754" s="4"/>
      <c r="E754" s="4"/>
      <c r="F754" s="4"/>
      <c r="G754" s="49"/>
      <c r="H754" s="4"/>
      <c r="I754" s="4"/>
      <c r="J754" s="4"/>
      <c r="K754" s="4"/>
      <c r="L754" s="4"/>
      <c r="M754" s="4"/>
      <c r="N754" s="4"/>
      <c r="O754" s="4"/>
      <c r="P754" s="5"/>
    </row>
    <row r="755" spans="4:16" ht="15.75" customHeight="1">
      <c r="D755" s="4"/>
      <c r="E755" s="4"/>
      <c r="F755" s="4"/>
      <c r="G755" s="49"/>
      <c r="H755" s="4"/>
      <c r="I755" s="4"/>
      <c r="J755" s="4"/>
      <c r="K755" s="4"/>
      <c r="L755" s="4"/>
      <c r="M755" s="4"/>
      <c r="N755" s="4"/>
      <c r="O755" s="4"/>
      <c r="P755" s="5"/>
    </row>
    <row r="756" spans="4:16" ht="15.75" customHeight="1">
      <c r="D756" s="4"/>
      <c r="E756" s="4"/>
      <c r="F756" s="4"/>
      <c r="G756" s="49"/>
      <c r="H756" s="4"/>
      <c r="I756" s="4"/>
      <c r="J756" s="4"/>
      <c r="K756" s="4"/>
      <c r="L756" s="4"/>
      <c r="M756" s="4"/>
      <c r="N756" s="4"/>
      <c r="O756" s="4"/>
      <c r="P756" s="5"/>
    </row>
    <row r="757" spans="4:16" ht="15.75" customHeight="1">
      <c r="D757" s="4"/>
      <c r="E757" s="4"/>
      <c r="F757" s="4"/>
      <c r="G757" s="49"/>
      <c r="H757" s="4"/>
      <c r="I757" s="4"/>
      <c r="J757" s="4"/>
      <c r="K757" s="4"/>
      <c r="L757" s="4"/>
      <c r="M757" s="4"/>
      <c r="N757" s="4"/>
      <c r="O757" s="4"/>
      <c r="P757" s="5"/>
    </row>
    <row r="758" spans="4:16" ht="15.75" customHeight="1">
      <c r="D758" s="4"/>
      <c r="E758" s="4"/>
      <c r="F758" s="4"/>
      <c r="G758" s="49"/>
      <c r="H758" s="4"/>
      <c r="I758" s="4"/>
      <c r="J758" s="4"/>
      <c r="K758" s="4"/>
      <c r="L758" s="4"/>
      <c r="M758" s="4"/>
      <c r="N758" s="4"/>
      <c r="O758" s="4"/>
      <c r="P758" s="5"/>
    </row>
    <row r="759" spans="4:16" ht="15.75" customHeight="1">
      <c r="D759" s="4"/>
      <c r="E759" s="4"/>
      <c r="F759" s="4"/>
      <c r="G759" s="49"/>
      <c r="H759" s="4"/>
      <c r="I759" s="4"/>
      <c r="J759" s="4"/>
      <c r="K759" s="4"/>
      <c r="L759" s="4"/>
      <c r="M759" s="4"/>
      <c r="N759" s="4"/>
      <c r="O759" s="4"/>
      <c r="P759" s="5"/>
    </row>
    <row r="760" spans="4:16" ht="15.75" customHeight="1">
      <c r="D760" s="4"/>
      <c r="E760" s="4"/>
      <c r="F760" s="4"/>
      <c r="G760" s="49"/>
      <c r="H760" s="4"/>
      <c r="I760" s="4"/>
      <c r="J760" s="4"/>
      <c r="K760" s="4"/>
      <c r="L760" s="4"/>
      <c r="M760" s="4"/>
      <c r="N760" s="4"/>
      <c r="O760" s="4"/>
      <c r="P760" s="5"/>
    </row>
    <row r="761" spans="4:16" ht="15.75" customHeight="1">
      <c r="D761" s="4"/>
      <c r="E761" s="4"/>
      <c r="F761" s="4"/>
      <c r="G761" s="49"/>
      <c r="H761" s="4"/>
      <c r="I761" s="4"/>
      <c r="J761" s="4"/>
      <c r="K761" s="4"/>
      <c r="L761" s="4"/>
      <c r="M761" s="4"/>
      <c r="N761" s="4"/>
      <c r="O761" s="4"/>
      <c r="P761" s="5"/>
    </row>
    <row r="762" spans="4:16" ht="15.75" customHeight="1">
      <c r="D762" s="4"/>
      <c r="E762" s="4"/>
      <c r="F762" s="4"/>
      <c r="G762" s="49"/>
      <c r="H762" s="4"/>
      <c r="I762" s="4"/>
      <c r="J762" s="4"/>
      <c r="K762" s="4"/>
      <c r="L762" s="4"/>
      <c r="M762" s="4"/>
      <c r="N762" s="4"/>
      <c r="O762" s="4"/>
      <c r="P762" s="5"/>
    </row>
    <row r="763" spans="4:16" ht="15.75" customHeight="1">
      <c r="D763" s="4"/>
      <c r="E763" s="4"/>
      <c r="F763" s="4"/>
      <c r="G763" s="49"/>
      <c r="H763" s="4"/>
      <c r="I763" s="4"/>
      <c r="J763" s="4"/>
      <c r="K763" s="4"/>
      <c r="L763" s="4"/>
      <c r="M763" s="4"/>
      <c r="N763" s="4"/>
      <c r="O763" s="4"/>
      <c r="P763" s="5"/>
    </row>
    <row r="764" spans="4:16" ht="15.75" customHeight="1">
      <c r="D764" s="4"/>
      <c r="E764" s="4"/>
      <c r="F764" s="4"/>
      <c r="G764" s="49"/>
      <c r="H764" s="4"/>
      <c r="I764" s="4"/>
      <c r="J764" s="4"/>
      <c r="K764" s="4"/>
      <c r="L764" s="4"/>
      <c r="M764" s="4"/>
      <c r="N764" s="4"/>
      <c r="O764" s="4"/>
      <c r="P764" s="5"/>
    </row>
    <row r="765" spans="4:16" ht="15.75" customHeight="1">
      <c r="D765" s="4"/>
      <c r="E765" s="4"/>
      <c r="F765" s="4"/>
      <c r="G765" s="49"/>
      <c r="H765" s="4"/>
      <c r="I765" s="4"/>
      <c r="J765" s="4"/>
      <c r="K765" s="4"/>
      <c r="L765" s="4"/>
      <c r="M765" s="4"/>
      <c r="N765" s="4"/>
      <c r="O765" s="4"/>
      <c r="P765" s="5"/>
    </row>
    <row r="766" spans="4:16" ht="15.75" customHeight="1">
      <c r="D766" s="4"/>
      <c r="E766" s="4"/>
      <c r="F766" s="4"/>
      <c r="G766" s="49"/>
      <c r="H766" s="4"/>
      <c r="I766" s="4"/>
      <c r="J766" s="4"/>
      <c r="K766" s="4"/>
      <c r="L766" s="4"/>
      <c r="M766" s="4"/>
      <c r="N766" s="4"/>
      <c r="O766" s="4"/>
      <c r="P766" s="5"/>
    </row>
    <row r="767" spans="4:16" ht="15.75" customHeight="1">
      <c r="D767" s="4"/>
      <c r="E767" s="4"/>
      <c r="F767" s="4"/>
      <c r="G767" s="49"/>
      <c r="H767" s="4"/>
      <c r="I767" s="4"/>
      <c r="J767" s="4"/>
      <c r="K767" s="4"/>
      <c r="L767" s="4"/>
      <c r="M767" s="4"/>
      <c r="N767" s="4"/>
      <c r="O767" s="4"/>
      <c r="P767" s="5"/>
    </row>
    <row r="768" spans="4:16" ht="15.75" customHeight="1">
      <c r="D768" s="4"/>
      <c r="E768" s="4"/>
      <c r="F768" s="4"/>
      <c r="G768" s="49"/>
      <c r="H768" s="4"/>
      <c r="I768" s="4"/>
      <c r="J768" s="4"/>
      <c r="K768" s="4"/>
      <c r="L768" s="4"/>
      <c r="M768" s="4"/>
      <c r="N768" s="4"/>
      <c r="O768" s="4"/>
      <c r="P768" s="5"/>
    </row>
    <row r="769" spans="4:16" ht="15.75" customHeight="1">
      <c r="D769" s="4"/>
      <c r="E769" s="4"/>
      <c r="F769" s="4"/>
      <c r="G769" s="49"/>
      <c r="H769" s="4"/>
      <c r="I769" s="4"/>
      <c r="J769" s="4"/>
      <c r="K769" s="4"/>
      <c r="L769" s="4"/>
      <c r="M769" s="4"/>
      <c r="N769" s="4"/>
      <c r="O769" s="4"/>
      <c r="P769" s="5"/>
    </row>
    <row r="770" spans="4:16" ht="15.75" customHeight="1">
      <c r="D770" s="4"/>
      <c r="E770" s="4"/>
      <c r="F770" s="4"/>
      <c r="G770" s="49"/>
      <c r="H770" s="4"/>
      <c r="I770" s="4"/>
      <c r="J770" s="4"/>
      <c r="K770" s="4"/>
      <c r="L770" s="4"/>
      <c r="M770" s="4"/>
      <c r="N770" s="4"/>
      <c r="O770" s="4"/>
      <c r="P770" s="5"/>
    </row>
    <row r="771" spans="4:16" ht="15.75" customHeight="1">
      <c r="D771" s="4"/>
      <c r="E771" s="4"/>
      <c r="F771" s="4"/>
      <c r="G771" s="49"/>
      <c r="H771" s="4"/>
      <c r="I771" s="4"/>
      <c r="J771" s="4"/>
      <c r="K771" s="4"/>
      <c r="L771" s="4"/>
      <c r="M771" s="4"/>
      <c r="N771" s="4"/>
      <c r="O771" s="4"/>
      <c r="P771" s="5"/>
    </row>
    <row r="772" spans="4:16" ht="15.75" customHeight="1">
      <c r="D772" s="4"/>
      <c r="E772" s="4"/>
      <c r="F772" s="4"/>
      <c r="G772" s="49"/>
      <c r="H772" s="4"/>
      <c r="I772" s="4"/>
      <c r="J772" s="4"/>
      <c r="K772" s="4"/>
      <c r="L772" s="4"/>
      <c r="M772" s="4"/>
      <c r="N772" s="4"/>
      <c r="O772" s="4"/>
      <c r="P772" s="5"/>
    </row>
    <row r="773" spans="4:16" ht="15.75" customHeight="1">
      <c r="D773" s="4"/>
      <c r="E773" s="4"/>
      <c r="F773" s="4"/>
      <c r="G773" s="49"/>
      <c r="H773" s="4"/>
      <c r="I773" s="4"/>
      <c r="J773" s="4"/>
      <c r="K773" s="4"/>
      <c r="L773" s="4"/>
      <c r="M773" s="4"/>
      <c r="N773" s="4"/>
      <c r="O773" s="4"/>
      <c r="P773" s="5"/>
    </row>
    <row r="774" spans="4:16" ht="15.75" customHeight="1">
      <c r="D774" s="4"/>
      <c r="E774" s="4"/>
      <c r="F774" s="4"/>
      <c r="G774" s="49"/>
      <c r="H774" s="4"/>
      <c r="I774" s="4"/>
      <c r="J774" s="4"/>
      <c r="K774" s="4"/>
      <c r="L774" s="4"/>
      <c r="M774" s="4"/>
      <c r="N774" s="4"/>
      <c r="O774" s="4"/>
      <c r="P774" s="5"/>
    </row>
    <row r="775" spans="4:16" ht="15.75" customHeight="1">
      <c r="D775" s="4"/>
      <c r="E775" s="4"/>
      <c r="F775" s="4"/>
      <c r="G775" s="49"/>
      <c r="H775" s="4"/>
      <c r="I775" s="4"/>
      <c r="J775" s="4"/>
      <c r="K775" s="4"/>
      <c r="L775" s="4"/>
      <c r="M775" s="4"/>
      <c r="N775" s="4"/>
      <c r="O775" s="4"/>
      <c r="P775" s="5"/>
    </row>
    <row r="776" spans="4:16" ht="15.75" customHeight="1">
      <c r="D776" s="4"/>
      <c r="E776" s="4"/>
      <c r="F776" s="4"/>
      <c r="G776" s="49"/>
      <c r="H776" s="4"/>
      <c r="I776" s="4"/>
      <c r="J776" s="4"/>
      <c r="K776" s="4"/>
      <c r="L776" s="4"/>
      <c r="M776" s="4"/>
      <c r="N776" s="4"/>
      <c r="O776" s="4"/>
      <c r="P776" s="5"/>
    </row>
    <row r="777" spans="4:16" ht="15.75" customHeight="1">
      <c r="D777" s="4"/>
      <c r="E777" s="4"/>
      <c r="F777" s="4"/>
      <c r="G777" s="49"/>
      <c r="H777" s="4"/>
      <c r="I777" s="4"/>
      <c r="J777" s="4"/>
      <c r="K777" s="4"/>
      <c r="L777" s="4"/>
      <c r="M777" s="4"/>
      <c r="N777" s="4"/>
      <c r="O777" s="4"/>
      <c r="P777" s="5"/>
    </row>
    <row r="778" spans="4:16" ht="15.75" customHeight="1">
      <c r="D778" s="4"/>
      <c r="E778" s="4"/>
      <c r="F778" s="4"/>
      <c r="G778" s="49"/>
      <c r="H778" s="4"/>
      <c r="I778" s="4"/>
      <c r="J778" s="4"/>
      <c r="K778" s="4"/>
      <c r="L778" s="4"/>
      <c r="M778" s="4"/>
      <c r="N778" s="4"/>
      <c r="O778" s="4"/>
      <c r="P778" s="5"/>
    </row>
    <row r="779" spans="4:16" ht="15.75" customHeight="1">
      <c r="D779" s="4"/>
      <c r="E779" s="4"/>
      <c r="F779" s="4"/>
      <c r="G779" s="49"/>
      <c r="H779" s="4"/>
      <c r="I779" s="4"/>
      <c r="J779" s="4"/>
      <c r="K779" s="4"/>
      <c r="L779" s="4"/>
      <c r="M779" s="4"/>
      <c r="N779" s="4"/>
      <c r="O779" s="4"/>
      <c r="P779" s="5"/>
    </row>
    <row r="780" spans="4:16" ht="15.75" customHeight="1">
      <c r="D780" s="4"/>
      <c r="E780" s="4"/>
      <c r="F780" s="4"/>
      <c r="G780" s="49"/>
      <c r="H780" s="4"/>
      <c r="I780" s="4"/>
      <c r="J780" s="4"/>
      <c r="K780" s="4"/>
      <c r="L780" s="4"/>
      <c r="M780" s="4"/>
      <c r="N780" s="4"/>
      <c r="O780" s="4"/>
      <c r="P780" s="5"/>
    </row>
    <row r="781" spans="4:16" ht="15.75" customHeight="1">
      <c r="D781" s="4"/>
      <c r="E781" s="4"/>
      <c r="F781" s="4"/>
      <c r="G781" s="49"/>
      <c r="H781" s="4"/>
      <c r="I781" s="4"/>
      <c r="J781" s="4"/>
      <c r="K781" s="4"/>
      <c r="L781" s="4"/>
      <c r="M781" s="4"/>
      <c r="N781" s="4"/>
      <c r="O781" s="4"/>
      <c r="P781" s="5"/>
    </row>
    <row r="782" spans="4:16" ht="15.75" customHeight="1">
      <c r="D782" s="4"/>
      <c r="E782" s="4"/>
      <c r="F782" s="4"/>
      <c r="G782" s="49"/>
      <c r="H782" s="4"/>
      <c r="I782" s="4"/>
      <c r="J782" s="4"/>
      <c r="K782" s="4"/>
      <c r="L782" s="4"/>
      <c r="M782" s="4"/>
      <c r="N782" s="4"/>
      <c r="O782" s="4"/>
      <c r="P782" s="5"/>
    </row>
    <row r="783" spans="4:16" ht="15.75" customHeight="1">
      <c r="D783" s="4"/>
      <c r="E783" s="4"/>
      <c r="F783" s="4"/>
      <c r="G783" s="49"/>
      <c r="H783" s="4"/>
      <c r="I783" s="4"/>
      <c r="J783" s="4"/>
      <c r="K783" s="4"/>
      <c r="L783" s="4"/>
      <c r="M783" s="4"/>
      <c r="N783" s="4"/>
      <c r="O783" s="4"/>
      <c r="P783" s="5"/>
    </row>
    <row r="784" spans="4:16" ht="15.75" customHeight="1">
      <c r="D784" s="4"/>
      <c r="E784" s="4"/>
      <c r="F784" s="4"/>
      <c r="G784" s="49"/>
      <c r="H784" s="4"/>
      <c r="I784" s="4"/>
      <c r="J784" s="4"/>
      <c r="K784" s="4"/>
      <c r="L784" s="4"/>
      <c r="M784" s="4"/>
      <c r="N784" s="4"/>
      <c r="O784" s="4"/>
      <c r="P784" s="5"/>
    </row>
    <row r="785" spans="4:16" ht="15.75" customHeight="1">
      <c r="D785" s="4"/>
      <c r="E785" s="4"/>
      <c r="F785" s="4"/>
      <c r="G785" s="49"/>
      <c r="H785" s="4"/>
      <c r="I785" s="4"/>
      <c r="J785" s="4"/>
      <c r="K785" s="4"/>
      <c r="L785" s="4"/>
      <c r="M785" s="4"/>
      <c r="N785" s="4"/>
      <c r="O785" s="4"/>
      <c r="P785" s="5"/>
    </row>
    <row r="786" spans="4:16" ht="15.75" customHeight="1">
      <c r="D786" s="4"/>
      <c r="E786" s="4"/>
      <c r="F786" s="4"/>
      <c r="G786" s="49"/>
      <c r="H786" s="4"/>
      <c r="I786" s="4"/>
      <c r="J786" s="4"/>
      <c r="K786" s="4"/>
      <c r="L786" s="4"/>
      <c r="M786" s="4"/>
      <c r="N786" s="4"/>
      <c r="O786" s="4"/>
      <c r="P786" s="5"/>
    </row>
    <row r="787" spans="4:16" ht="15.75" customHeight="1">
      <c r="D787" s="4"/>
      <c r="E787" s="4"/>
      <c r="F787" s="4"/>
      <c r="G787" s="49"/>
      <c r="H787" s="4"/>
      <c r="I787" s="4"/>
      <c r="J787" s="4"/>
      <c r="K787" s="4"/>
      <c r="L787" s="4"/>
      <c r="M787" s="4"/>
      <c r="N787" s="4"/>
      <c r="O787" s="4"/>
      <c r="P787" s="5"/>
    </row>
    <row r="788" spans="4:16" ht="15.75" customHeight="1">
      <c r="D788" s="4"/>
      <c r="E788" s="4"/>
      <c r="F788" s="4"/>
      <c r="G788" s="49"/>
      <c r="H788" s="4"/>
      <c r="I788" s="4"/>
      <c r="J788" s="4"/>
      <c r="K788" s="4"/>
      <c r="L788" s="4"/>
      <c r="M788" s="4"/>
      <c r="N788" s="4"/>
      <c r="O788" s="4"/>
      <c r="P788" s="5"/>
    </row>
    <row r="789" spans="4:16" ht="15.75" customHeight="1">
      <c r="D789" s="4"/>
      <c r="E789" s="4"/>
      <c r="F789" s="4"/>
      <c r="G789" s="49"/>
      <c r="H789" s="4"/>
      <c r="I789" s="4"/>
      <c r="J789" s="4"/>
      <c r="K789" s="4"/>
      <c r="L789" s="4"/>
      <c r="M789" s="4"/>
      <c r="N789" s="4"/>
      <c r="O789" s="4"/>
      <c r="P789" s="5"/>
    </row>
    <row r="790" spans="4:16" ht="15.75" customHeight="1">
      <c r="D790" s="4"/>
      <c r="E790" s="4"/>
      <c r="F790" s="4"/>
      <c r="G790" s="49"/>
      <c r="H790" s="4"/>
      <c r="I790" s="4"/>
      <c r="J790" s="4"/>
      <c r="K790" s="4"/>
      <c r="L790" s="4"/>
      <c r="M790" s="4"/>
      <c r="N790" s="4"/>
      <c r="O790" s="4"/>
      <c r="P790" s="5"/>
    </row>
    <row r="791" spans="4:16" ht="15.75" customHeight="1">
      <c r="D791" s="4"/>
      <c r="E791" s="4"/>
      <c r="F791" s="4"/>
      <c r="G791" s="49"/>
      <c r="H791" s="4"/>
      <c r="I791" s="4"/>
      <c r="J791" s="4"/>
      <c r="K791" s="4"/>
      <c r="L791" s="4"/>
      <c r="M791" s="4"/>
      <c r="N791" s="4"/>
      <c r="O791" s="4"/>
      <c r="P791" s="5"/>
    </row>
    <row r="792" spans="4:16" ht="15.75" customHeight="1">
      <c r="D792" s="4"/>
      <c r="E792" s="4"/>
      <c r="F792" s="4"/>
      <c r="G792" s="49"/>
      <c r="H792" s="4"/>
      <c r="I792" s="4"/>
      <c r="J792" s="4"/>
      <c r="K792" s="4"/>
      <c r="L792" s="4"/>
      <c r="M792" s="4"/>
      <c r="N792" s="4"/>
      <c r="O792" s="4"/>
      <c r="P792" s="5"/>
    </row>
    <row r="793" spans="4:16" ht="15.75" customHeight="1">
      <c r="D793" s="4"/>
      <c r="E793" s="4"/>
      <c r="F793" s="4"/>
      <c r="G793" s="49"/>
      <c r="H793" s="4"/>
      <c r="I793" s="4"/>
      <c r="J793" s="4"/>
      <c r="K793" s="4"/>
      <c r="L793" s="4"/>
      <c r="M793" s="4"/>
      <c r="N793" s="4"/>
      <c r="O793" s="4"/>
      <c r="P793" s="5"/>
    </row>
    <row r="794" spans="4:16" ht="15.75" customHeight="1">
      <c r="D794" s="4"/>
      <c r="E794" s="4"/>
      <c r="F794" s="4"/>
      <c r="G794" s="49"/>
      <c r="H794" s="4"/>
      <c r="I794" s="4"/>
      <c r="J794" s="4"/>
      <c r="K794" s="4"/>
      <c r="L794" s="4"/>
      <c r="M794" s="4"/>
      <c r="N794" s="4"/>
      <c r="O794" s="4"/>
      <c r="P794" s="5"/>
    </row>
    <row r="795" spans="4:16" ht="15.75" customHeight="1">
      <c r="D795" s="4"/>
      <c r="E795" s="4"/>
      <c r="F795" s="4"/>
      <c r="G795" s="49"/>
      <c r="H795" s="4"/>
      <c r="I795" s="4"/>
      <c r="J795" s="4"/>
      <c r="K795" s="4"/>
      <c r="L795" s="4"/>
      <c r="M795" s="4"/>
      <c r="N795" s="4"/>
      <c r="O795" s="4"/>
      <c r="P795" s="5"/>
    </row>
    <row r="796" spans="4:16" ht="15.75" customHeight="1">
      <c r="D796" s="4"/>
      <c r="E796" s="4"/>
      <c r="F796" s="4"/>
      <c r="G796" s="49"/>
      <c r="H796" s="4"/>
      <c r="I796" s="4"/>
      <c r="J796" s="4"/>
      <c r="K796" s="4"/>
      <c r="L796" s="4"/>
      <c r="M796" s="4"/>
      <c r="N796" s="4"/>
      <c r="O796" s="4"/>
      <c r="P796" s="5"/>
    </row>
    <row r="797" spans="4:16" ht="15.75" customHeight="1">
      <c r="D797" s="4"/>
      <c r="E797" s="4"/>
      <c r="F797" s="4"/>
      <c r="G797" s="49"/>
      <c r="H797" s="4"/>
      <c r="I797" s="4"/>
      <c r="J797" s="4"/>
      <c r="K797" s="4"/>
      <c r="L797" s="4"/>
      <c r="M797" s="4"/>
      <c r="N797" s="4"/>
      <c r="O797" s="4"/>
      <c r="P797" s="5"/>
    </row>
    <row r="798" spans="4:16" ht="15.75" customHeight="1">
      <c r="D798" s="4"/>
      <c r="E798" s="4"/>
      <c r="F798" s="4"/>
      <c r="G798" s="49"/>
      <c r="H798" s="4"/>
      <c r="I798" s="4"/>
      <c r="J798" s="4"/>
      <c r="K798" s="4"/>
      <c r="L798" s="4"/>
      <c r="M798" s="4"/>
      <c r="N798" s="4"/>
      <c r="O798" s="4"/>
      <c r="P798" s="5"/>
    </row>
    <row r="799" spans="4:16" ht="15.75" customHeight="1">
      <c r="D799" s="4"/>
      <c r="E799" s="4"/>
      <c r="F799" s="4"/>
      <c r="G799" s="49"/>
      <c r="H799" s="4"/>
      <c r="I799" s="4"/>
      <c r="J799" s="4"/>
      <c r="K799" s="4"/>
      <c r="L799" s="4"/>
      <c r="M799" s="4"/>
      <c r="N799" s="4"/>
      <c r="O799" s="4"/>
      <c r="P799" s="5"/>
    </row>
    <row r="800" spans="4:16" ht="15.75" customHeight="1">
      <c r="D800" s="4"/>
      <c r="E800" s="4"/>
      <c r="F800" s="4"/>
      <c r="G800" s="49"/>
      <c r="H800" s="4"/>
      <c r="I800" s="4"/>
      <c r="J800" s="4"/>
      <c r="K800" s="4"/>
      <c r="L800" s="4"/>
      <c r="M800" s="4"/>
      <c r="N800" s="4"/>
      <c r="O800" s="4"/>
      <c r="P800" s="5"/>
    </row>
    <row r="801" spans="4:16" ht="15.75" customHeight="1">
      <c r="D801" s="4"/>
      <c r="E801" s="4"/>
      <c r="F801" s="4"/>
      <c r="G801" s="49"/>
      <c r="H801" s="4"/>
      <c r="I801" s="4"/>
      <c r="J801" s="4"/>
      <c r="K801" s="4"/>
      <c r="L801" s="4"/>
      <c r="M801" s="4"/>
      <c r="N801" s="4"/>
      <c r="O801" s="4"/>
      <c r="P801" s="5"/>
    </row>
    <row r="802" spans="4:16" ht="15.75" customHeight="1">
      <c r="D802" s="4"/>
      <c r="E802" s="4"/>
      <c r="F802" s="4"/>
      <c r="G802" s="49"/>
      <c r="H802" s="4"/>
      <c r="I802" s="4"/>
      <c r="J802" s="4"/>
      <c r="K802" s="4"/>
      <c r="L802" s="4"/>
      <c r="M802" s="4"/>
      <c r="N802" s="4"/>
      <c r="O802" s="4"/>
      <c r="P802" s="5"/>
    </row>
    <row r="803" spans="4:16" ht="15.75" customHeight="1">
      <c r="D803" s="4"/>
      <c r="E803" s="4"/>
      <c r="F803" s="4"/>
      <c r="G803" s="49"/>
      <c r="H803" s="4"/>
      <c r="I803" s="4"/>
      <c r="J803" s="4"/>
      <c r="K803" s="4"/>
      <c r="L803" s="4"/>
      <c r="M803" s="4"/>
      <c r="N803" s="4"/>
      <c r="O803" s="4"/>
      <c r="P803" s="5"/>
    </row>
    <row r="804" spans="4:16" ht="15.75" customHeight="1">
      <c r="D804" s="4"/>
      <c r="E804" s="4"/>
      <c r="F804" s="4"/>
      <c r="G804" s="49"/>
      <c r="H804" s="4"/>
      <c r="I804" s="4"/>
      <c r="J804" s="4"/>
      <c r="K804" s="4"/>
      <c r="L804" s="4"/>
      <c r="M804" s="4"/>
      <c r="N804" s="4"/>
      <c r="O804" s="4"/>
      <c r="P804" s="5"/>
    </row>
    <row r="805" spans="4:16" ht="15.75" customHeight="1">
      <c r="D805" s="4"/>
      <c r="E805" s="4"/>
      <c r="F805" s="4"/>
      <c r="G805" s="49"/>
      <c r="H805" s="4"/>
      <c r="I805" s="4"/>
      <c r="J805" s="4"/>
      <c r="K805" s="4"/>
      <c r="L805" s="4"/>
      <c r="M805" s="4"/>
      <c r="N805" s="4"/>
      <c r="O805" s="4"/>
      <c r="P805" s="5"/>
    </row>
    <row r="806" spans="4:16" ht="15.75" customHeight="1">
      <c r="D806" s="4"/>
      <c r="E806" s="4"/>
      <c r="F806" s="4"/>
      <c r="G806" s="49"/>
      <c r="H806" s="4"/>
      <c r="I806" s="4"/>
      <c r="J806" s="4"/>
      <c r="K806" s="4"/>
      <c r="L806" s="4"/>
      <c r="M806" s="4"/>
      <c r="N806" s="4"/>
      <c r="O806" s="4"/>
      <c r="P806" s="5"/>
    </row>
    <row r="807" spans="4:16" ht="15.75" customHeight="1">
      <c r="D807" s="4"/>
      <c r="E807" s="4"/>
      <c r="F807" s="4"/>
      <c r="G807" s="49"/>
      <c r="H807" s="4"/>
      <c r="I807" s="4"/>
      <c r="J807" s="4"/>
      <c r="K807" s="4"/>
      <c r="L807" s="4"/>
      <c r="M807" s="4"/>
      <c r="N807" s="4"/>
      <c r="O807" s="4"/>
      <c r="P807" s="5"/>
    </row>
    <row r="808" spans="4:16" ht="15.75" customHeight="1">
      <c r="D808" s="4"/>
      <c r="E808" s="4"/>
      <c r="F808" s="4"/>
      <c r="G808" s="49"/>
      <c r="H808" s="4"/>
      <c r="I808" s="4"/>
      <c r="J808" s="4"/>
      <c r="K808" s="4"/>
      <c r="L808" s="4"/>
      <c r="M808" s="4"/>
      <c r="N808" s="4"/>
      <c r="O808" s="4"/>
      <c r="P808" s="5"/>
    </row>
    <row r="809" spans="4:16" ht="15.75" customHeight="1">
      <c r="D809" s="4"/>
      <c r="E809" s="4"/>
      <c r="F809" s="4"/>
      <c r="G809" s="49"/>
      <c r="H809" s="4"/>
      <c r="I809" s="4"/>
      <c r="J809" s="4"/>
      <c r="K809" s="4"/>
      <c r="L809" s="4"/>
      <c r="M809" s="4"/>
      <c r="N809" s="4"/>
      <c r="O809" s="4"/>
      <c r="P809" s="5"/>
    </row>
    <row r="810" spans="4:16" ht="15.75" customHeight="1">
      <c r="D810" s="4"/>
      <c r="E810" s="4"/>
      <c r="F810" s="4"/>
      <c r="G810" s="49"/>
      <c r="H810" s="4"/>
      <c r="I810" s="4"/>
      <c r="J810" s="4"/>
      <c r="K810" s="4"/>
      <c r="L810" s="4"/>
      <c r="M810" s="4"/>
      <c r="N810" s="4"/>
      <c r="O810" s="4"/>
      <c r="P810" s="5"/>
    </row>
    <row r="811" spans="4:16" ht="15.75" customHeight="1">
      <c r="D811" s="4"/>
      <c r="E811" s="4"/>
      <c r="F811" s="4"/>
      <c r="G811" s="49"/>
      <c r="H811" s="4"/>
      <c r="I811" s="4"/>
      <c r="J811" s="4"/>
      <c r="K811" s="4"/>
      <c r="L811" s="4"/>
      <c r="M811" s="4"/>
      <c r="N811" s="4"/>
      <c r="O811" s="4"/>
      <c r="P811" s="5"/>
    </row>
    <row r="812" spans="4:16" ht="15.75" customHeight="1">
      <c r="D812" s="4"/>
      <c r="E812" s="4"/>
      <c r="F812" s="4"/>
      <c r="G812" s="49"/>
      <c r="H812" s="4"/>
      <c r="I812" s="4"/>
      <c r="J812" s="4"/>
      <c r="K812" s="4"/>
      <c r="L812" s="4"/>
      <c r="M812" s="4"/>
      <c r="N812" s="4"/>
      <c r="O812" s="4"/>
      <c r="P812" s="5"/>
    </row>
    <row r="813" spans="4:16" ht="15.75" customHeight="1">
      <c r="D813" s="4"/>
      <c r="E813" s="4"/>
      <c r="F813" s="4"/>
      <c r="G813" s="49"/>
      <c r="H813" s="4"/>
      <c r="I813" s="4"/>
      <c r="J813" s="4"/>
      <c r="K813" s="4"/>
      <c r="L813" s="4"/>
      <c r="M813" s="4"/>
      <c r="N813" s="4"/>
      <c r="O813" s="4"/>
      <c r="P813" s="5"/>
    </row>
    <row r="814" spans="4:16" ht="15.75" customHeight="1">
      <c r="D814" s="4"/>
      <c r="E814" s="4"/>
      <c r="F814" s="4"/>
      <c r="G814" s="49"/>
      <c r="H814" s="4"/>
      <c r="I814" s="4"/>
      <c r="J814" s="4"/>
      <c r="K814" s="4"/>
      <c r="L814" s="4"/>
      <c r="M814" s="4"/>
      <c r="N814" s="4"/>
      <c r="O814" s="4"/>
      <c r="P814" s="5"/>
    </row>
    <row r="815" spans="4:16" ht="15.75" customHeight="1">
      <c r="D815" s="4"/>
      <c r="E815" s="4"/>
      <c r="F815" s="4"/>
      <c r="G815" s="49"/>
      <c r="H815" s="4"/>
      <c r="I815" s="4"/>
      <c r="J815" s="4"/>
      <c r="K815" s="4"/>
      <c r="L815" s="4"/>
      <c r="M815" s="4"/>
      <c r="N815" s="4"/>
      <c r="O815" s="4"/>
      <c r="P815" s="5"/>
    </row>
    <row r="816" spans="4:16" ht="15.75" customHeight="1">
      <c r="D816" s="4"/>
      <c r="E816" s="4"/>
      <c r="F816" s="4"/>
      <c r="G816" s="49"/>
      <c r="H816" s="4"/>
      <c r="I816" s="4"/>
      <c r="J816" s="4"/>
      <c r="K816" s="4"/>
      <c r="L816" s="4"/>
      <c r="M816" s="4"/>
      <c r="N816" s="4"/>
      <c r="O816" s="4"/>
      <c r="P816" s="5"/>
    </row>
    <row r="817" spans="4:16" ht="15.75" customHeight="1">
      <c r="D817" s="4"/>
      <c r="E817" s="4"/>
      <c r="F817" s="4"/>
      <c r="G817" s="49"/>
      <c r="H817" s="4"/>
      <c r="I817" s="4"/>
      <c r="J817" s="4"/>
      <c r="K817" s="4"/>
      <c r="L817" s="4"/>
      <c r="M817" s="4"/>
      <c r="N817" s="4"/>
      <c r="O817" s="4"/>
      <c r="P817" s="5"/>
    </row>
    <row r="818" spans="4:16" ht="15.75" customHeight="1">
      <c r="D818" s="4"/>
      <c r="E818" s="4"/>
      <c r="F818" s="4"/>
      <c r="G818" s="49"/>
      <c r="H818" s="4"/>
      <c r="I818" s="4"/>
      <c r="J818" s="4"/>
      <c r="K818" s="4"/>
      <c r="L818" s="4"/>
      <c r="M818" s="4"/>
      <c r="N818" s="4"/>
      <c r="O818" s="4"/>
      <c r="P818" s="5"/>
    </row>
    <row r="819" spans="4:16" ht="15.75" customHeight="1">
      <c r="D819" s="4"/>
      <c r="E819" s="4"/>
      <c r="F819" s="4"/>
      <c r="G819" s="49"/>
      <c r="H819" s="4"/>
      <c r="I819" s="4"/>
      <c r="J819" s="4"/>
      <c r="K819" s="4"/>
      <c r="L819" s="4"/>
      <c r="M819" s="4"/>
      <c r="N819" s="4"/>
      <c r="O819" s="4"/>
      <c r="P819" s="5"/>
    </row>
    <row r="820" spans="4:16" ht="15.75" customHeight="1">
      <c r="D820" s="4"/>
      <c r="E820" s="4"/>
      <c r="F820" s="4"/>
      <c r="G820" s="49"/>
      <c r="H820" s="4"/>
      <c r="I820" s="4"/>
      <c r="J820" s="4"/>
      <c r="K820" s="4"/>
      <c r="L820" s="4"/>
      <c r="M820" s="4"/>
      <c r="N820" s="4"/>
      <c r="O820" s="4"/>
      <c r="P820" s="5"/>
    </row>
    <row r="821" spans="4:16" ht="15.75" customHeight="1">
      <c r="D821" s="4"/>
      <c r="E821" s="4"/>
      <c r="F821" s="4"/>
      <c r="G821" s="49"/>
      <c r="H821" s="4"/>
      <c r="I821" s="4"/>
      <c r="J821" s="4"/>
      <c r="K821" s="4"/>
      <c r="L821" s="4"/>
      <c r="M821" s="4"/>
      <c r="N821" s="4"/>
      <c r="O821" s="4"/>
      <c r="P821" s="5"/>
    </row>
    <row r="822" spans="4:16" ht="15.75" customHeight="1">
      <c r="D822" s="4"/>
      <c r="E822" s="4"/>
      <c r="F822" s="4"/>
      <c r="G822" s="49"/>
      <c r="H822" s="4"/>
      <c r="I822" s="4"/>
      <c r="J822" s="4"/>
      <c r="K822" s="4"/>
      <c r="L822" s="4"/>
      <c r="M822" s="4"/>
      <c r="N822" s="4"/>
      <c r="O822" s="4"/>
      <c r="P822" s="5"/>
    </row>
    <row r="823" spans="4:16" ht="15.75" customHeight="1">
      <c r="D823" s="4"/>
      <c r="E823" s="4"/>
      <c r="F823" s="4"/>
      <c r="G823" s="49"/>
      <c r="H823" s="4"/>
      <c r="I823" s="4"/>
      <c r="J823" s="4"/>
      <c r="K823" s="4"/>
      <c r="L823" s="4"/>
      <c r="M823" s="4"/>
      <c r="N823" s="4"/>
      <c r="O823" s="4"/>
      <c r="P823" s="5"/>
    </row>
    <row r="824" spans="4:16" ht="15.75" customHeight="1">
      <c r="D824" s="4"/>
      <c r="E824" s="4"/>
      <c r="F824" s="4"/>
      <c r="G824" s="49"/>
      <c r="H824" s="4"/>
      <c r="I824" s="4"/>
      <c r="J824" s="4"/>
      <c r="K824" s="4"/>
      <c r="L824" s="4"/>
      <c r="M824" s="4"/>
      <c r="N824" s="4"/>
      <c r="O824" s="4"/>
      <c r="P824" s="5"/>
    </row>
    <row r="825" spans="4:16" ht="15.75" customHeight="1">
      <c r="D825" s="4"/>
      <c r="E825" s="4"/>
      <c r="F825" s="4"/>
      <c r="G825" s="49"/>
      <c r="H825" s="4"/>
      <c r="I825" s="4"/>
      <c r="J825" s="4"/>
      <c r="K825" s="4"/>
      <c r="L825" s="4"/>
      <c r="M825" s="4"/>
      <c r="N825" s="4"/>
      <c r="O825" s="4"/>
      <c r="P825" s="5"/>
    </row>
    <row r="826" spans="4:16" ht="15.75" customHeight="1">
      <c r="D826" s="4"/>
      <c r="E826" s="4"/>
      <c r="F826" s="4"/>
      <c r="G826" s="49"/>
      <c r="H826" s="4"/>
      <c r="I826" s="4"/>
      <c r="J826" s="4"/>
      <c r="K826" s="4"/>
      <c r="L826" s="4"/>
      <c r="M826" s="4"/>
      <c r="N826" s="4"/>
      <c r="O826" s="4"/>
      <c r="P826" s="5"/>
    </row>
    <row r="827" spans="4:16" ht="15.75" customHeight="1">
      <c r="D827" s="4"/>
      <c r="E827" s="4"/>
      <c r="F827" s="4"/>
      <c r="G827" s="49"/>
      <c r="H827" s="4"/>
      <c r="I827" s="4"/>
      <c r="J827" s="4"/>
      <c r="K827" s="4"/>
      <c r="L827" s="4"/>
      <c r="M827" s="4"/>
      <c r="N827" s="4"/>
      <c r="O827" s="4"/>
      <c r="P827" s="5"/>
    </row>
    <row r="828" spans="4:16" ht="15.75" customHeight="1">
      <c r="D828" s="4"/>
      <c r="E828" s="4"/>
      <c r="F828" s="4"/>
      <c r="G828" s="49"/>
      <c r="H828" s="4"/>
      <c r="I828" s="4"/>
      <c r="J828" s="4"/>
      <c r="K828" s="4"/>
      <c r="L828" s="4"/>
      <c r="M828" s="4"/>
      <c r="N828" s="4"/>
      <c r="O828" s="4"/>
      <c r="P828" s="5"/>
    </row>
    <row r="829" spans="4:16" ht="15.75" customHeight="1">
      <c r="D829" s="4"/>
      <c r="E829" s="4"/>
      <c r="F829" s="4"/>
      <c r="G829" s="49"/>
      <c r="H829" s="4"/>
      <c r="I829" s="4"/>
      <c r="J829" s="4"/>
      <c r="K829" s="4"/>
      <c r="L829" s="4"/>
      <c r="M829" s="4"/>
      <c r="N829" s="4"/>
      <c r="O829" s="4"/>
      <c r="P829" s="5"/>
    </row>
    <row r="830" spans="4:16" ht="15.75" customHeight="1">
      <c r="D830" s="4"/>
      <c r="E830" s="4"/>
      <c r="F830" s="4"/>
      <c r="G830" s="49"/>
      <c r="H830" s="4"/>
      <c r="I830" s="4"/>
      <c r="J830" s="4"/>
      <c r="K830" s="4"/>
      <c r="L830" s="4"/>
      <c r="M830" s="4"/>
      <c r="N830" s="4"/>
      <c r="O830" s="4"/>
      <c r="P830" s="5"/>
    </row>
    <row r="831" spans="4:16" ht="15.75" customHeight="1">
      <c r="D831" s="4"/>
      <c r="E831" s="4"/>
      <c r="F831" s="4"/>
      <c r="G831" s="49"/>
      <c r="H831" s="4"/>
      <c r="I831" s="4"/>
      <c r="J831" s="4"/>
      <c r="K831" s="4"/>
      <c r="L831" s="4"/>
      <c r="M831" s="4"/>
      <c r="N831" s="4"/>
      <c r="O831" s="4"/>
      <c r="P831" s="5"/>
    </row>
    <row r="832" spans="4:16" ht="15.75" customHeight="1">
      <c r="D832" s="4"/>
      <c r="E832" s="4"/>
      <c r="F832" s="4"/>
      <c r="G832" s="49"/>
      <c r="H832" s="4"/>
      <c r="I832" s="4"/>
      <c r="J832" s="4"/>
      <c r="K832" s="4"/>
      <c r="L832" s="4"/>
      <c r="M832" s="4"/>
      <c r="N832" s="4"/>
      <c r="O832" s="4"/>
      <c r="P832" s="5"/>
    </row>
    <row r="833" spans="4:16" ht="15.75" customHeight="1">
      <c r="D833" s="4"/>
      <c r="E833" s="4"/>
      <c r="F833" s="4"/>
      <c r="G833" s="49"/>
      <c r="H833" s="4"/>
      <c r="I833" s="4"/>
      <c r="J833" s="4"/>
      <c r="K833" s="4"/>
      <c r="L833" s="4"/>
      <c r="M833" s="4"/>
      <c r="N833" s="4"/>
      <c r="O833" s="4"/>
      <c r="P833" s="5"/>
    </row>
    <row r="834" spans="4:16" ht="15.75" customHeight="1">
      <c r="D834" s="4"/>
      <c r="E834" s="4"/>
      <c r="F834" s="4"/>
      <c r="G834" s="49"/>
      <c r="H834" s="4"/>
      <c r="I834" s="4"/>
      <c r="J834" s="4"/>
      <c r="K834" s="4"/>
      <c r="L834" s="4"/>
      <c r="M834" s="4"/>
      <c r="N834" s="4"/>
      <c r="O834" s="4"/>
      <c r="P834" s="5"/>
    </row>
    <row r="835" spans="4:16" ht="15.75" customHeight="1">
      <c r="D835" s="4"/>
      <c r="E835" s="4"/>
      <c r="F835" s="4"/>
      <c r="G835" s="49"/>
      <c r="H835" s="4"/>
      <c r="I835" s="4"/>
      <c r="J835" s="4"/>
      <c r="K835" s="4"/>
      <c r="L835" s="4"/>
      <c r="M835" s="4"/>
      <c r="N835" s="4"/>
      <c r="O835" s="4"/>
      <c r="P835" s="5"/>
    </row>
    <row r="836" spans="4:16" ht="15.75" customHeight="1">
      <c r="D836" s="4"/>
      <c r="E836" s="4"/>
      <c r="F836" s="4"/>
      <c r="G836" s="49"/>
      <c r="H836" s="4"/>
      <c r="I836" s="4"/>
      <c r="J836" s="4"/>
      <c r="K836" s="4"/>
      <c r="L836" s="4"/>
      <c r="M836" s="4"/>
      <c r="N836" s="4"/>
      <c r="O836" s="4"/>
      <c r="P836" s="5"/>
    </row>
    <row r="837" spans="4:16" ht="15.75" customHeight="1">
      <c r="D837" s="4"/>
      <c r="E837" s="4"/>
      <c r="F837" s="4"/>
      <c r="G837" s="49"/>
      <c r="H837" s="4"/>
      <c r="I837" s="4"/>
      <c r="J837" s="4"/>
      <c r="K837" s="4"/>
      <c r="L837" s="4"/>
      <c r="M837" s="4"/>
      <c r="N837" s="4"/>
      <c r="O837" s="4"/>
      <c r="P837" s="5"/>
    </row>
    <row r="838" spans="4:16" ht="15.75" customHeight="1">
      <c r="D838" s="4"/>
      <c r="E838" s="4"/>
      <c r="F838" s="4"/>
      <c r="G838" s="49"/>
      <c r="H838" s="4"/>
      <c r="I838" s="4"/>
      <c r="J838" s="4"/>
      <c r="K838" s="4"/>
      <c r="L838" s="4"/>
      <c r="M838" s="4"/>
      <c r="N838" s="4"/>
      <c r="O838" s="4"/>
      <c r="P838" s="5"/>
    </row>
    <row r="839" spans="4:16" ht="15.75" customHeight="1">
      <c r="D839" s="4"/>
      <c r="E839" s="4"/>
      <c r="F839" s="4"/>
      <c r="G839" s="49"/>
      <c r="H839" s="4"/>
      <c r="I839" s="4"/>
      <c r="J839" s="4"/>
      <c r="K839" s="4"/>
      <c r="L839" s="4"/>
      <c r="M839" s="4"/>
      <c r="N839" s="4"/>
      <c r="O839" s="4"/>
      <c r="P839" s="5"/>
    </row>
    <row r="840" spans="4:16" ht="15.75" customHeight="1">
      <c r="D840" s="4"/>
      <c r="E840" s="4"/>
      <c r="F840" s="4"/>
      <c r="G840" s="49"/>
      <c r="H840" s="4"/>
      <c r="I840" s="4"/>
      <c r="J840" s="4"/>
      <c r="K840" s="4"/>
      <c r="L840" s="4"/>
      <c r="M840" s="4"/>
      <c r="N840" s="4"/>
      <c r="O840" s="4"/>
      <c r="P840" s="5"/>
    </row>
    <row r="841" spans="4:16" ht="15.75" customHeight="1">
      <c r="D841" s="4"/>
      <c r="E841" s="4"/>
      <c r="F841" s="4"/>
      <c r="G841" s="49"/>
      <c r="H841" s="4"/>
      <c r="I841" s="4"/>
      <c r="J841" s="4"/>
      <c r="K841" s="4"/>
      <c r="L841" s="4"/>
      <c r="M841" s="4"/>
      <c r="N841" s="4"/>
      <c r="O841" s="4"/>
      <c r="P841" s="5"/>
    </row>
    <row r="842" spans="4:16" ht="15.75" customHeight="1">
      <c r="D842" s="4"/>
      <c r="E842" s="4"/>
      <c r="F842" s="4"/>
      <c r="G842" s="49"/>
      <c r="H842" s="4"/>
      <c r="I842" s="4"/>
      <c r="J842" s="4"/>
      <c r="K842" s="4"/>
      <c r="L842" s="4"/>
      <c r="M842" s="4"/>
      <c r="N842" s="4"/>
      <c r="O842" s="4"/>
      <c r="P842" s="5"/>
    </row>
    <row r="843" spans="4:16" ht="15.75" customHeight="1">
      <c r="D843" s="4"/>
      <c r="E843" s="4"/>
      <c r="F843" s="4"/>
      <c r="G843" s="49"/>
      <c r="H843" s="4"/>
      <c r="I843" s="4"/>
      <c r="J843" s="4"/>
      <c r="K843" s="4"/>
      <c r="L843" s="4"/>
      <c r="M843" s="4"/>
      <c r="N843" s="4"/>
      <c r="O843" s="4"/>
      <c r="P843" s="5"/>
    </row>
    <row r="844" spans="4:16" ht="15.75" customHeight="1">
      <c r="D844" s="4"/>
      <c r="E844" s="4"/>
      <c r="F844" s="4"/>
      <c r="G844" s="49"/>
      <c r="H844" s="4"/>
      <c r="I844" s="4"/>
      <c r="J844" s="4"/>
      <c r="K844" s="4"/>
      <c r="L844" s="4"/>
      <c r="M844" s="4"/>
      <c r="N844" s="4"/>
      <c r="O844" s="4"/>
      <c r="P844" s="5"/>
    </row>
    <row r="845" spans="4:16" ht="15.75" customHeight="1">
      <c r="D845" s="4"/>
      <c r="E845" s="4"/>
      <c r="F845" s="4"/>
      <c r="G845" s="49"/>
      <c r="H845" s="4"/>
      <c r="I845" s="4"/>
      <c r="J845" s="4"/>
      <c r="K845" s="4"/>
      <c r="L845" s="4"/>
      <c r="M845" s="4"/>
      <c r="N845" s="4"/>
      <c r="O845" s="4"/>
      <c r="P845" s="5"/>
    </row>
    <row r="846" spans="4:16" ht="15.75" customHeight="1">
      <c r="D846" s="4"/>
      <c r="E846" s="4"/>
      <c r="F846" s="4"/>
      <c r="G846" s="49"/>
      <c r="H846" s="4"/>
      <c r="I846" s="4"/>
      <c r="J846" s="4"/>
      <c r="K846" s="4"/>
      <c r="L846" s="4"/>
      <c r="M846" s="4"/>
      <c r="N846" s="4"/>
      <c r="O846" s="4"/>
      <c r="P846" s="5"/>
    </row>
    <row r="847" spans="4:16" ht="15.75" customHeight="1">
      <c r="D847" s="4"/>
      <c r="E847" s="4"/>
      <c r="F847" s="4"/>
      <c r="G847" s="49"/>
      <c r="H847" s="4"/>
      <c r="I847" s="4"/>
      <c r="J847" s="4"/>
      <c r="K847" s="4"/>
      <c r="L847" s="4"/>
      <c r="M847" s="4"/>
      <c r="N847" s="4"/>
      <c r="O847" s="4"/>
      <c r="P847" s="5"/>
    </row>
    <row r="848" spans="4:16" ht="15.75" customHeight="1">
      <c r="D848" s="4"/>
      <c r="E848" s="4"/>
      <c r="F848" s="4"/>
      <c r="G848" s="49"/>
      <c r="H848" s="4"/>
      <c r="I848" s="4"/>
      <c r="J848" s="4"/>
      <c r="K848" s="4"/>
      <c r="L848" s="4"/>
      <c r="M848" s="4"/>
      <c r="N848" s="4"/>
      <c r="O848" s="4"/>
      <c r="P848" s="5"/>
    </row>
    <row r="849" spans="4:16" ht="15.75" customHeight="1">
      <c r="D849" s="4"/>
      <c r="E849" s="4"/>
      <c r="F849" s="4"/>
      <c r="G849" s="49"/>
      <c r="H849" s="4"/>
      <c r="I849" s="4"/>
      <c r="J849" s="4"/>
      <c r="K849" s="4"/>
      <c r="L849" s="4"/>
      <c r="M849" s="4"/>
      <c r="N849" s="4"/>
      <c r="O849" s="4"/>
      <c r="P849" s="5"/>
    </row>
    <row r="850" spans="4:16" ht="15.75" customHeight="1">
      <c r="D850" s="4"/>
      <c r="E850" s="4"/>
      <c r="F850" s="4"/>
      <c r="G850" s="49"/>
      <c r="H850" s="4"/>
      <c r="I850" s="4"/>
      <c r="J850" s="4"/>
      <c r="K850" s="4"/>
      <c r="L850" s="4"/>
      <c r="M850" s="4"/>
      <c r="N850" s="4"/>
      <c r="O850" s="4"/>
      <c r="P850" s="5"/>
    </row>
    <row r="851" spans="4:16" ht="15.75" customHeight="1">
      <c r="D851" s="4"/>
      <c r="E851" s="4"/>
      <c r="F851" s="4"/>
      <c r="G851" s="49"/>
      <c r="H851" s="4"/>
      <c r="I851" s="4"/>
      <c r="J851" s="4"/>
      <c r="K851" s="4"/>
      <c r="L851" s="4"/>
      <c r="M851" s="4"/>
      <c r="N851" s="4"/>
      <c r="O851" s="4"/>
      <c r="P851" s="5"/>
    </row>
    <row r="852" spans="4:16" ht="15.75" customHeight="1">
      <c r="D852" s="4"/>
      <c r="E852" s="4"/>
      <c r="F852" s="4"/>
      <c r="G852" s="49"/>
      <c r="H852" s="4"/>
      <c r="I852" s="4"/>
      <c r="J852" s="4"/>
      <c r="K852" s="4"/>
      <c r="L852" s="4"/>
      <c r="M852" s="4"/>
      <c r="N852" s="4"/>
      <c r="O852" s="4"/>
      <c r="P852" s="5"/>
    </row>
    <row r="853" spans="4:16" ht="15.75" customHeight="1">
      <c r="D853" s="4"/>
      <c r="E853" s="4"/>
      <c r="F853" s="4"/>
      <c r="G853" s="49"/>
      <c r="H853" s="4"/>
      <c r="I853" s="4"/>
      <c r="J853" s="4"/>
      <c r="K853" s="4"/>
      <c r="L853" s="4"/>
      <c r="M853" s="4"/>
      <c r="N853" s="4"/>
      <c r="O853" s="4"/>
      <c r="P853" s="5"/>
    </row>
    <row r="854" spans="4:16" ht="15.75" customHeight="1">
      <c r="D854" s="4"/>
      <c r="E854" s="4"/>
      <c r="F854" s="4"/>
      <c r="G854" s="49"/>
      <c r="H854" s="4"/>
      <c r="I854" s="4"/>
      <c r="J854" s="4"/>
      <c r="K854" s="4"/>
      <c r="L854" s="4"/>
      <c r="M854" s="4"/>
      <c r="N854" s="4"/>
      <c r="O854" s="4"/>
      <c r="P854" s="5"/>
    </row>
    <row r="855" spans="4:16" ht="15.75" customHeight="1">
      <c r="D855" s="4"/>
      <c r="E855" s="4"/>
      <c r="F855" s="4"/>
      <c r="G855" s="49"/>
      <c r="H855" s="4"/>
      <c r="I855" s="4"/>
      <c r="J855" s="4"/>
      <c r="K855" s="4"/>
      <c r="L855" s="4"/>
      <c r="M855" s="4"/>
      <c r="N855" s="4"/>
      <c r="O855" s="4"/>
      <c r="P855" s="5"/>
    </row>
    <row r="856" spans="4:16" ht="15.75" customHeight="1">
      <c r="D856" s="4"/>
      <c r="E856" s="4"/>
      <c r="F856" s="4"/>
      <c r="G856" s="49"/>
      <c r="H856" s="4"/>
      <c r="I856" s="4"/>
      <c r="J856" s="4"/>
      <c r="K856" s="4"/>
      <c r="L856" s="4"/>
      <c r="M856" s="4"/>
      <c r="N856" s="4"/>
      <c r="O856" s="4"/>
      <c r="P856" s="5"/>
    </row>
    <row r="857" spans="4:16" ht="15.75" customHeight="1">
      <c r="D857" s="4"/>
      <c r="E857" s="4"/>
      <c r="F857" s="4"/>
      <c r="G857" s="49"/>
      <c r="H857" s="4"/>
      <c r="I857" s="4"/>
      <c r="J857" s="4"/>
      <c r="K857" s="4"/>
      <c r="L857" s="4"/>
      <c r="M857" s="4"/>
      <c r="N857" s="4"/>
      <c r="O857" s="4"/>
      <c r="P857" s="5"/>
    </row>
    <row r="858" spans="4:16" ht="15.75" customHeight="1">
      <c r="D858" s="4"/>
      <c r="E858" s="4"/>
      <c r="F858" s="4"/>
      <c r="G858" s="49"/>
      <c r="H858" s="4"/>
      <c r="I858" s="4"/>
      <c r="J858" s="4"/>
      <c r="K858" s="4"/>
      <c r="L858" s="4"/>
      <c r="M858" s="4"/>
      <c r="N858" s="4"/>
      <c r="O858" s="4"/>
      <c r="P858" s="5"/>
    </row>
    <row r="859" spans="4:16" ht="15.75" customHeight="1">
      <c r="D859" s="4"/>
      <c r="E859" s="4"/>
      <c r="F859" s="4"/>
      <c r="G859" s="49"/>
      <c r="H859" s="4"/>
      <c r="I859" s="4"/>
      <c r="J859" s="4"/>
      <c r="K859" s="4"/>
      <c r="L859" s="4"/>
      <c r="M859" s="4"/>
      <c r="N859" s="4"/>
      <c r="O859" s="4"/>
      <c r="P859" s="5"/>
    </row>
    <row r="860" spans="4:16" ht="15.75" customHeight="1">
      <c r="D860" s="4"/>
      <c r="E860" s="4"/>
      <c r="F860" s="4"/>
      <c r="G860" s="49"/>
      <c r="H860" s="4"/>
      <c r="I860" s="4"/>
      <c r="J860" s="4"/>
      <c r="K860" s="4"/>
      <c r="L860" s="4"/>
      <c r="M860" s="4"/>
      <c r="N860" s="4"/>
      <c r="O860" s="4"/>
      <c r="P860" s="5"/>
    </row>
    <row r="861" spans="4:16" ht="15.75" customHeight="1">
      <c r="D861" s="4"/>
      <c r="E861" s="4"/>
      <c r="F861" s="4"/>
      <c r="G861" s="49"/>
      <c r="H861" s="4"/>
      <c r="I861" s="4"/>
      <c r="J861" s="4"/>
      <c r="K861" s="4"/>
      <c r="L861" s="4"/>
      <c r="M861" s="4"/>
      <c r="N861" s="4"/>
      <c r="O861" s="4"/>
      <c r="P861" s="5"/>
    </row>
    <row r="862" spans="4:16" ht="15.75" customHeight="1">
      <c r="D862" s="4"/>
      <c r="E862" s="4"/>
      <c r="F862" s="4"/>
      <c r="G862" s="49"/>
      <c r="H862" s="4"/>
      <c r="I862" s="4"/>
      <c r="J862" s="4"/>
      <c r="K862" s="4"/>
      <c r="L862" s="4"/>
      <c r="M862" s="4"/>
      <c r="N862" s="4"/>
      <c r="O862" s="4"/>
      <c r="P862" s="5"/>
    </row>
    <row r="863" spans="4:16" ht="15.75" customHeight="1">
      <c r="D863" s="4"/>
      <c r="E863" s="4"/>
      <c r="F863" s="4"/>
      <c r="G863" s="49"/>
      <c r="H863" s="4"/>
      <c r="I863" s="4"/>
      <c r="J863" s="4"/>
      <c r="K863" s="4"/>
      <c r="L863" s="4"/>
      <c r="M863" s="4"/>
      <c r="N863" s="4"/>
      <c r="O863" s="4"/>
      <c r="P863" s="5"/>
    </row>
    <row r="864" spans="4:16" ht="15.75" customHeight="1">
      <c r="D864" s="4"/>
      <c r="E864" s="4"/>
      <c r="F864" s="4"/>
      <c r="G864" s="49"/>
      <c r="H864" s="4"/>
      <c r="I864" s="4"/>
      <c r="J864" s="4"/>
      <c r="K864" s="4"/>
      <c r="L864" s="4"/>
      <c r="M864" s="4"/>
      <c r="N864" s="4"/>
      <c r="O864" s="4"/>
      <c r="P864" s="5"/>
    </row>
    <row r="865" spans="4:16" ht="15.75" customHeight="1">
      <c r="D865" s="4"/>
      <c r="E865" s="4"/>
      <c r="F865" s="4"/>
      <c r="G865" s="49"/>
      <c r="H865" s="4"/>
      <c r="I865" s="4"/>
      <c r="J865" s="4"/>
      <c r="K865" s="4"/>
      <c r="L865" s="4"/>
      <c r="M865" s="4"/>
      <c r="N865" s="4"/>
      <c r="O865" s="4"/>
      <c r="P865" s="5"/>
    </row>
    <row r="866" spans="4:16" ht="15.75" customHeight="1">
      <c r="D866" s="4"/>
      <c r="E866" s="4"/>
      <c r="F866" s="4"/>
      <c r="G866" s="49"/>
      <c r="H866" s="4"/>
      <c r="I866" s="4"/>
      <c r="J866" s="4"/>
      <c r="K866" s="4"/>
      <c r="L866" s="4"/>
      <c r="M866" s="4"/>
      <c r="N866" s="4"/>
      <c r="O866" s="4"/>
      <c r="P866" s="5"/>
    </row>
    <row r="867" spans="4:16" ht="15.75" customHeight="1">
      <c r="D867" s="4"/>
      <c r="E867" s="4"/>
      <c r="F867" s="4"/>
      <c r="G867" s="49"/>
      <c r="H867" s="4"/>
      <c r="I867" s="4"/>
      <c r="J867" s="4"/>
      <c r="K867" s="4"/>
      <c r="L867" s="4"/>
      <c r="M867" s="4"/>
      <c r="N867" s="4"/>
      <c r="O867" s="4"/>
      <c r="P867" s="5"/>
    </row>
    <row r="868" spans="4:16" ht="15.75" customHeight="1">
      <c r="D868" s="4"/>
      <c r="E868" s="4"/>
      <c r="F868" s="4"/>
      <c r="G868" s="49"/>
      <c r="H868" s="4"/>
      <c r="I868" s="4"/>
      <c r="J868" s="4"/>
      <c r="K868" s="4"/>
      <c r="L868" s="4"/>
      <c r="M868" s="4"/>
      <c r="N868" s="4"/>
      <c r="O868" s="4"/>
      <c r="P868" s="5"/>
    </row>
    <row r="869" spans="4:16" ht="15.75" customHeight="1">
      <c r="D869" s="4"/>
      <c r="E869" s="4"/>
      <c r="F869" s="4"/>
      <c r="G869" s="49"/>
      <c r="H869" s="4"/>
      <c r="I869" s="4"/>
      <c r="J869" s="4"/>
      <c r="K869" s="4"/>
      <c r="L869" s="4"/>
      <c r="M869" s="4"/>
      <c r="N869" s="4"/>
      <c r="O869" s="4"/>
      <c r="P869" s="5"/>
    </row>
    <row r="870" spans="4:16" ht="15.75" customHeight="1">
      <c r="D870" s="4"/>
      <c r="E870" s="4"/>
      <c r="F870" s="4"/>
      <c r="G870" s="49"/>
      <c r="H870" s="4"/>
      <c r="I870" s="4"/>
      <c r="J870" s="4"/>
      <c r="K870" s="4"/>
      <c r="L870" s="4"/>
      <c r="M870" s="4"/>
      <c r="N870" s="4"/>
      <c r="O870" s="4"/>
      <c r="P870" s="5"/>
    </row>
    <row r="871" spans="4:16" ht="15.75" customHeight="1">
      <c r="D871" s="4"/>
      <c r="E871" s="4"/>
      <c r="F871" s="4"/>
      <c r="G871" s="49"/>
      <c r="H871" s="4"/>
      <c r="I871" s="4"/>
      <c r="J871" s="4"/>
      <c r="K871" s="4"/>
      <c r="L871" s="4"/>
      <c r="M871" s="4"/>
      <c r="N871" s="4"/>
      <c r="O871" s="4"/>
      <c r="P871" s="5"/>
    </row>
    <row r="872" spans="4:16" ht="15.75" customHeight="1">
      <c r="D872" s="4"/>
      <c r="E872" s="4"/>
      <c r="F872" s="4"/>
      <c r="G872" s="49"/>
      <c r="H872" s="4"/>
      <c r="I872" s="4"/>
      <c r="J872" s="4"/>
      <c r="K872" s="4"/>
      <c r="L872" s="4"/>
      <c r="M872" s="4"/>
      <c r="N872" s="4"/>
      <c r="O872" s="4"/>
      <c r="P872" s="5"/>
    </row>
    <row r="873" spans="4:16" ht="15.75" customHeight="1">
      <c r="D873" s="4"/>
      <c r="E873" s="4"/>
      <c r="F873" s="4"/>
      <c r="G873" s="49"/>
      <c r="H873" s="4"/>
      <c r="I873" s="4"/>
      <c r="J873" s="4"/>
      <c r="K873" s="4"/>
      <c r="L873" s="4"/>
      <c r="M873" s="4"/>
      <c r="N873" s="4"/>
      <c r="O873" s="4"/>
      <c r="P873" s="5"/>
    </row>
    <row r="874" spans="4:16" ht="15.75" customHeight="1">
      <c r="D874" s="4"/>
      <c r="E874" s="4"/>
      <c r="F874" s="4"/>
      <c r="G874" s="49"/>
      <c r="H874" s="4"/>
      <c r="I874" s="4"/>
      <c r="J874" s="4"/>
      <c r="K874" s="4"/>
      <c r="L874" s="4"/>
      <c r="M874" s="4"/>
      <c r="N874" s="4"/>
      <c r="O874" s="4"/>
      <c r="P874" s="5"/>
    </row>
    <row r="875" spans="4:16" ht="15.75" customHeight="1">
      <c r="D875" s="4"/>
      <c r="E875" s="4"/>
      <c r="F875" s="4"/>
      <c r="G875" s="49"/>
      <c r="H875" s="4"/>
      <c r="I875" s="4"/>
      <c r="J875" s="4"/>
      <c r="K875" s="4"/>
      <c r="L875" s="4"/>
      <c r="M875" s="4"/>
      <c r="N875" s="4"/>
      <c r="O875" s="4"/>
      <c r="P875" s="5"/>
    </row>
    <row r="876" spans="4:16" ht="15.75" customHeight="1">
      <c r="D876" s="4"/>
      <c r="E876" s="4"/>
      <c r="F876" s="4"/>
      <c r="G876" s="49"/>
      <c r="H876" s="4"/>
      <c r="I876" s="4"/>
      <c r="J876" s="4"/>
      <c r="K876" s="4"/>
      <c r="L876" s="4"/>
      <c r="M876" s="4"/>
      <c r="N876" s="4"/>
      <c r="O876" s="4"/>
      <c r="P876" s="5"/>
    </row>
    <row r="877" spans="4:16" ht="15.75" customHeight="1">
      <c r="D877" s="4"/>
      <c r="E877" s="4"/>
      <c r="F877" s="4"/>
      <c r="G877" s="49"/>
      <c r="H877" s="4"/>
      <c r="I877" s="4"/>
      <c r="J877" s="4"/>
      <c r="K877" s="4"/>
      <c r="L877" s="4"/>
      <c r="M877" s="4"/>
      <c r="N877" s="4"/>
      <c r="O877" s="4"/>
      <c r="P877" s="5"/>
    </row>
    <row r="878" spans="4:16" ht="15.75" customHeight="1">
      <c r="D878" s="4"/>
      <c r="E878" s="4"/>
      <c r="F878" s="4"/>
      <c r="G878" s="49"/>
      <c r="H878" s="4"/>
      <c r="I878" s="4"/>
      <c r="J878" s="4"/>
      <c r="K878" s="4"/>
      <c r="L878" s="4"/>
      <c r="M878" s="4"/>
      <c r="N878" s="4"/>
      <c r="O878" s="4"/>
      <c r="P878" s="5"/>
    </row>
    <row r="879" spans="4:16" ht="15.75" customHeight="1">
      <c r="D879" s="4"/>
      <c r="E879" s="4"/>
      <c r="F879" s="4"/>
      <c r="G879" s="49"/>
      <c r="H879" s="4"/>
      <c r="I879" s="4"/>
      <c r="J879" s="4"/>
      <c r="K879" s="4"/>
      <c r="L879" s="4"/>
      <c r="M879" s="4"/>
      <c r="N879" s="4"/>
      <c r="O879" s="4"/>
      <c r="P879" s="5"/>
    </row>
    <row r="880" spans="4:16" ht="15.75" customHeight="1">
      <c r="D880" s="4"/>
      <c r="E880" s="4"/>
      <c r="F880" s="4"/>
      <c r="G880" s="49"/>
      <c r="H880" s="4"/>
      <c r="I880" s="4"/>
      <c r="J880" s="4"/>
      <c r="K880" s="4"/>
      <c r="L880" s="4"/>
      <c r="M880" s="4"/>
      <c r="N880" s="4"/>
      <c r="O880" s="4"/>
      <c r="P880" s="5"/>
    </row>
    <row r="881" spans="4:16" ht="15.75" customHeight="1">
      <c r="D881" s="4"/>
      <c r="E881" s="4"/>
      <c r="F881" s="4"/>
      <c r="G881" s="49"/>
      <c r="H881" s="4"/>
      <c r="I881" s="4"/>
      <c r="J881" s="4"/>
      <c r="K881" s="4"/>
      <c r="L881" s="4"/>
      <c r="M881" s="4"/>
      <c r="N881" s="4"/>
      <c r="O881" s="4"/>
      <c r="P881" s="5"/>
    </row>
    <row r="882" spans="4:16" ht="15.75" customHeight="1">
      <c r="D882" s="4"/>
      <c r="E882" s="4"/>
      <c r="F882" s="4"/>
      <c r="G882" s="49"/>
      <c r="H882" s="4"/>
      <c r="I882" s="4"/>
      <c r="J882" s="4"/>
      <c r="K882" s="4"/>
      <c r="L882" s="4"/>
      <c r="M882" s="4"/>
      <c r="N882" s="4"/>
      <c r="O882" s="4"/>
      <c r="P882" s="5"/>
    </row>
    <row r="883" spans="4:16" ht="15.75" customHeight="1">
      <c r="D883" s="4"/>
      <c r="E883" s="4"/>
      <c r="F883" s="4"/>
      <c r="G883" s="49"/>
      <c r="H883" s="4"/>
      <c r="I883" s="4"/>
      <c r="J883" s="4"/>
      <c r="K883" s="4"/>
      <c r="L883" s="4"/>
      <c r="M883" s="4"/>
      <c r="N883" s="4"/>
      <c r="O883" s="4"/>
      <c r="P883" s="5"/>
    </row>
    <row r="884" spans="4:16" ht="15.75" customHeight="1">
      <c r="D884" s="4"/>
      <c r="E884" s="4"/>
      <c r="F884" s="4"/>
      <c r="G884" s="49"/>
      <c r="H884" s="4"/>
      <c r="I884" s="4"/>
      <c r="J884" s="4"/>
      <c r="K884" s="4"/>
      <c r="L884" s="4"/>
      <c r="M884" s="4"/>
      <c r="N884" s="4"/>
      <c r="O884" s="4"/>
      <c r="P884" s="5"/>
    </row>
    <row r="885" spans="4:16" ht="15.75" customHeight="1">
      <c r="D885" s="4"/>
      <c r="E885" s="4"/>
      <c r="F885" s="4"/>
      <c r="G885" s="49"/>
      <c r="H885" s="4"/>
      <c r="I885" s="4"/>
      <c r="J885" s="4"/>
      <c r="K885" s="4"/>
      <c r="L885" s="4"/>
      <c r="M885" s="4"/>
      <c r="N885" s="4"/>
      <c r="O885" s="4"/>
      <c r="P885" s="5"/>
    </row>
    <row r="886" spans="4:16" ht="15.75" customHeight="1">
      <c r="D886" s="4"/>
      <c r="E886" s="4"/>
      <c r="F886" s="4"/>
      <c r="G886" s="49"/>
      <c r="H886" s="4"/>
      <c r="I886" s="4"/>
      <c r="J886" s="4"/>
      <c r="K886" s="4"/>
      <c r="L886" s="4"/>
      <c r="M886" s="4"/>
      <c r="N886" s="4"/>
      <c r="O886" s="4"/>
      <c r="P886" s="5"/>
    </row>
    <row r="887" spans="4:16" ht="15.75" customHeight="1">
      <c r="D887" s="4"/>
      <c r="E887" s="4"/>
      <c r="F887" s="4"/>
      <c r="G887" s="49"/>
      <c r="H887" s="4"/>
      <c r="I887" s="4"/>
      <c r="J887" s="4"/>
      <c r="K887" s="4"/>
      <c r="L887" s="4"/>
      <c r="M887" s="4"/>
      <c r="N887" s="4"/>
      <c r="O887" s="4"/>
      <c r="P887" s="5"/>
    </row>
    <row r="888" spans="4:16" ht="15.75" customHeight="1">
      <c r="D888" s="4"/>
      <c r="E888" s="4"/>
      <c r="F888" s="4"/>
      <c r="G888" s="49"/>
      <c r="H888" s="4"/>
      <c r="I888" s="4"/>
      <c r="J888" s="4"/>
      <c r="K888" s="4"/>
      <c r="L888" s="4"/>
      <c r="M888" s="4"/>
      <c r="N888" s="4"/>
      <c r="O888" s="4"/>
      <c r="P888" s="5"/>
    </row>
    <row r="889" spans="4:16" ht="15.75" customHeight="1">
      <c r="D889" s="4"/>
      <c r="E889" s="4"/>
      <c r="F889" s="4"/>
      <c r="G889" s="49"/>
      <c r="H889" s="4"/>
      <c r="I889" s="4"/>
      <c r="J889" s="4"/>
      <c r="K889" s="4"/>
      <c r="L889" s="4"/>
      <c r="M889" s="4"/>
      <c r="N889" s="4"/>
      <c r="O889" s="4"/>
      <c r="P889" s="5"/>
    </row>
    <row r="890" spans="4:16" ht="15.75" customHeight="1">
      <c r="D890" s="4"/>
      <c r="E890" s="4"/>
      <c r="F890" s="4"/>
      <c r="G890" s="49"/>
      <c r="H890" s="4"/>
      <c r="I890" s="4"/>
      <c r="J890" s="4"/>
      <c r="K890" s="4"/>
      <c r="L890" s="4"/>
      <c r="M890" s="4"/>
      <c r="N890" s="4"/>
      <c r="O890" s="4"/>
      <c r="P890" s="5"/>
    </row>
    <row r="891" spans="4:16" ht="15.75" customHeight="1">
      <c r="D891" s="4"/>
      <c r="E891" s="4"/>
      <c r="F891" s="4"/>
      <c r="G891" s="49"/>
      <c r="H891" s="4"/>
      <c r="I891" s="4"/>
      <c r="J891" s="4"/>
      <c r="K891" s="4"/>
      <c r="L891" s="4"/>
      <c r="M891" s="4"/>
      <c r="N891" s="4"/>
      <c r="O891" s="4"/>
      <c r="P891" s="5"/>
    </row>
    <row r="892" spans="4:16" ht="15.75" customHeight="1">
      <c r="D892" s="4"/>
      <c r="E892" s="4"/>
      <c r="F892" s="4"/>
      <c r="G892" s="49"/>
      <c r="H892" s="4"/>
      <c r="I892" s="4"/>
      <c r="J892" s="4"/>
      <c r="K892" s="4"/>
      <c r="L892" s="4"/>
      <c r="M892" s="4"/>
      <c r="N892" s="4"/>
      <c r="O892" s="4"/>
      <c r="P892" s="5"/>
    </row>
    <row r="893" spans="4:16" ht="15.75" customHeight="1">
      <c r="D893" s="4"/>
      <c r="E893" s="4"/>
      <c r="F893" s="4"/>
      <c r="G893" s="49"/>
      <c r="H893" s="4"/>
      <c r="I893" s="4"/>
      <c r="J893" s="4"/>
      <c r="K893" s="4"/>
      <c r="L893" s="4"/>
      <c r="M893" s="4"/>
      <c r="N893" s="4"/>
      <c r="O893" s="4"/>
      <c r="P893" s="5"/>
    </row>
    <row r="894" spans="4:16" ht="15.75" customHeight="1">
      <c r="D894" s="4"/>
      <c r="E894" s="4"/>
      <c r="F894" s="4"/>
      <c r="G894" s="49"/>
      <c r="H894" s="4"/>
      <c r="I894" s="4"/>
      <c r="J894" s="4"/>
      <c r="K894" s="4"/>
      <c r="L894" s="4"/>
      <c r="M894" s="4"/>
      <c r="N894" s="4"/>
      <c r="O894" s="4"/>
      <c r="P894" s="5"/>
    </row>
    <row r="895" spans="4:16" ht="15.75" customHeight="1">
      <c r="D895" s="4"/>
      <c r="E895" s="4"/>
      <c r="F895" s="4"/>
      <c r="G895" s="49"/>
      <c r="H895" s="4"/>
      <c r="I895" s="4"/>
      <c r="J895" s="4"/>
      <c r="K895" s="4"/>
      <c r="L895" s="4"/>
      <c r="M895" s="4"/>
      <c r="N895" s="4"/>
      <c r="O895" s="4"/>
      <c r="P895" s="5"/>
    </row>
    <row r="896" spans="4:16" ht="15.75" customHeight="1">
      <c r="D896" s="4"/>
      <c r="E896" s="4"/>
      <c r="F896" s="4"/>
      <c r="G896" s="49"/>
      <c r="H896" s="4"/>
      <c r="I896" s="4"/>
      <c r="J896" s="4"/>
      <c r="K896" s="4"/>
      <c r="L896" s="4"/>
      <c r="M896" s="4"/>
      <c r="N896" s="4"/>
      <c r="O896" s="4"/>
      <c r="P896" s="5"/>
    </row>
    <row r="897" spans="4:16" ht="15.75" customHeight="1">
      <c r="D897" s="4"/>
      <c r="E897" s="4"/>
      <c r="F897" s="4"/>
      <c r="G897" s="49"/>
      <c r="H897" s="4"/>
      <c r="I897" s="4"/>
      <c r="J897" s="4"/>
      <c r="K897" s="4"/>
      <c r="L897" s="4"/>
      <c r="M897" s="4"/>
      <c r="N897" s="4"/>
      <c r="O897" s="4"/>
      <c r="P897" s="5"/>
    </row>
    <row r="898" spans="4:16" ht="15.75" customHeight="1">
      <c r="D898" s="4"/>
      <c r="E898" s="4"/>
      <c r="F898" s="4"/>
      <c r="G898" s="49"/>
      <c r="H898" s="4"/>
      <c r="I898" s="4"/>
      <c r="J898" s="4"/>
      <c r="K898" s="4"/>
      <c r="L898" s="4"/>
      <c r="M898" s="4"/>
      <c r="N898" s="4"/>
      <c r="O898" s="4"/>
      <c r="P898" s="5"/>
    </row>
    <row r="899" spans="4:16" ht="15.75" customHeight="1">
      <c r="D899" s="4"/>
      <c r="E899" s="4"/>
      <c r="F899" s="4"/>
      <c r="G899" s="49"/>
      <c r="H899" s="4"/>
      <c r="I899" s="4"/>
      <c r="J899" s="4"/>
      <c r="K899" s="4"/>
      <c r="L899" s="4"/>
      <c r="M899" s="4"/>
      <c r="N899" s="4"/>
      <c r="O899" s="4"/>
      <c r="P899" s="5"/>
    </row>
    <row r="900" spans="4:16" ht="15.75" customHeight="1">
      <c r="D900" s="4"/>
      <c r="E900" s="4"/>
      <c r="F900" s="4"/>
      <c r="G900" s="49"/>
      <c r="H900" s="4"/>
      <c r="I900" s="4"/>
      <c r="J900" s="4"/>
      <c r="K900" s="4"/>
      <c r="L900" s="4"/>
      <c r="M900" s="4"/>
      <c r="N900" s="4"/>
      <c r="O900" s="4"/>
      <c r="P900" s="5"/>
    </row>
    <row r="901" spans="4:16" ht="15.75" customHeight="1">
      <c r="D901" s="4"/>
      <c r="E901" s="4"/>
      <c r="F901" s="4"/>
      <c r="G901" s="49"/>
      <c r="H901" s="4"/>
      <c r="I901" s="4"/>
      <c r="J901" s="4"/>
      <c r="K901" s="4"/>
      <c r="L901" s="4"/>
      <c r="M901" s="4"/>
      <c r="N901" s="4"/>
      <c r="O901" s="4"/>
      <c r="P901" s="5"/>
    </row>
    <row r="902" spans="4:16" ht="15.75" customHeight="1">
      <c r="D902" s="4"/>
      <c r="E902" s="4"/>
      <c r="F902" s="4"/>
      <c r="G902" s="49"/>
      <c r="H902" s="4"/>
      <c r="I902" s="4"/>
      <c r="J902" s="4"/>
      <c r="K902" s="4"/>
      <c r="L902" s="4"/>
      <c r="M902" s="4"/>
      <c r="N902" s="4"/>
      <c r="O902" s="4"/>
      <c r="P902" s="5"/>
    </row>
    <row r="903" spans="4:16" ht="15.75" customHeight="1">
      <c r="D903" s="4"/>
      <c r="E903" s="4"/>
      <c r="F903" s="4"/>
      <c r="G903" s="49"/>
      <c r="H903" s="4"/>
      <c r="I903" s="4"/>
      <c r="J903" s="4"/>
      <c r="K903" s="4"/>
      <c r="L903" s="4"/>
      <c r="M903" s="4"/>
      <c r="N903" s="4"/>
      <c r="O903" s="4"/>
      <c r="P903" s="5"/>
    </row>
    <row r="904" spans="4:16" ht="15.75" customHeight="1">
      <c r="D904" s="4"/>
      <c r="E904" s="4"/>
      <c r="F904" s="4"/>
      <c r="G904" s="49"/>
      <c r="H904" s="4"/>
      <c r="I904" s="4"/>
      <c r="J904" s="4"/>
      <c r="K904" s="4"/>
      <c r="L904" s="4"/>
      <c r="M904" s="4"/>
      <c r="N904" s="4"/>
      <c r="O904" s="4"/>
      <c r="P904" s="5"/>
    </row>
    <row r="905" spans="4:16" ht="15.75" customHeight="1">
      <c r="D905" s="4"/>
      <c r="E905" s="4"/>
      <c r="F905" s="4"/>
      <c r="G905" s="49"/>
      <c r="H905" s="4"/>
      <c r="I905" s="4"/>
      <c r="J905" s="4"/>
      <c r="K905" s="4"/>
      <c r="L905" s="4"/>
      <c r="M905" s="4"/>
      <c r="N905" s="4"/>
      <c r="O905" s="4"/>
      <c r="P905" s="5"/>
    </row>
    <row r="906" spans="4:16" ht="15.75" customHeight="1">
      <c r="D906" s="4"/>
      <c r="E906" s="4"/>
      <c r="F906" s="4"/>
      <c r="G906" s="49"/>
      <c r="H906" s="4"/>
      <c r="I906" s="4"/>
      <c r="J906" s="4"/>
      <c r="K906" s="4"/>
      <c r="L906" s="4"/>
      <c r="M906" s="4"/>
      <c r="N906" s="4"/>
      <c r="O906" s="4"/>
      <c r="P906" s="5"/>
    </row>
    <row r="907" spans="4:16" ht="15.75" customHeight="1">
      <c r="D907" s="4"/>
      <c r="E907" s="4"/>
      <c r="F907" s="4"/>
      <c r="G907" s="49"/>
      <c r="H907" s="4"/>
      <c r="I907" s="4"/>
      <c r="J907" s="4"/>
      <c r="K907" s="4"/>
      <c r="L907" s="4"/>
      <c r="M907" s="4"/>
      <c r="N907" s="4"/>
      <c r="O907" s="4"/>
      <c r="P907" s="5"/>
    </row>
    <row r="908" spans="4:16" ht="15.75" customHeight="1">
      <c r="D908" s="4"/>
      <c r="E908" s="4"/>
      <c r="F908" s="4"/>
      <c r="G908" s="49"/>
      <c r="H908" s="4"/>
      <c r="I908" s="4"/>
      <c r="J908" s="4"/>
      <c r="K908" s="4"/>
      <c r="L908" s="4"/>
      <c r="M908" s="4"/>
      <c r="N908" s="4"/>
      <c r="O908" s="4"/>
      <c r="P908" s="5"/>
    </row>
    <row r="909" spans="4:16" ht="15.75" customHeight="1">
      <c r="D909" s="4"/>
      <c r="E909" s="4"/>
      <c r="F909" s="4"/>
      <c r="G909" s="49"/>
      <c r="H909" s="4"/>
      <c r="I909" s="4"/>
      <c r="J909" s="4"/>
      <c r="K909" s="4"/>
      <c r="L909" s="4"/>
      <c r="M909" s="4"/>
      <c r="N909" s="4"/>
      <c r="O909" s="4"/>
      <c r="P909" s="5"/>
    </row>
    <row r="910" spans="4:16" ht="15.75" customHeight="1">
      <c r="D910" s="4"/>
      <c r="E910" s="4"/>
      <c r="F910" s="4"/>
      <c r="G910" s="49"/>
      <c r="H910" s="4"/>
      <c r="I910" s="4"/>
      <c r="J910" s="4"/>
      <c r="K910" s="4"/>
      <c r="L910" s="4"/>
      <c r="M910" s="4"/>
      <c r="N910" s="4"/>
      <c r="O910" s="4"/>
      <c r="P910" s="5"/>
    </row>
    <row r="911" spans="4:16" ht="15.75" customHeight="1">
      <c r="D911" s="4"/>
      <c r="E911" s="4"/>
      <c r="F911" s="4"/>
      <c r="G911" s="49"/>
      <c r="H911" s="4"/>
      <c r="I911" s="4"/>
      <c r="J911" s="4"/>
      <c r="K911" s="4"/>
      <c r="L911" s="4"/>
      <c r="M911" s="4"/>
      <c r="N911" s="4"/>
      <c r="O911" s="4"/>
      <c r="P911" s="5"/>
    </row>
    <row r="912" spans="4:16" ht="15.75" customHeight="1">
      <c r="D912" s="4"/>
      <c r="E912" s="4"/>
      <c r="F912" s="4"/>
      <c r="G912" s="49"/>
      <c r="H912" s="4"/>
      <c r="I912" s="4"/>
      <c r="J912" s="4"/>
      <c r="K912" s="4"/>
      <c r="L912" s="4"/>
      <c r="M912" s="4"/>
      <c r="N912" s="4"/>
      <c r="O912" s="4"/>
      <c r="P912" s="5"/>
    </row>
    <row r="913" spans="4:16" ht="15.75" customHeight="1">
      <c r="D913" s="4"/>
      <c r="E913" s="4"/>
      <c r="F913" s="4"/>
      <c r="G913" s="49"/>
      <c r="H913" s="4"/>
      <c r="I913" s="4"/>
      <c r="J913" s="4"/>
      <c r="K913" s="4"/>
      <c r="L913" s="4"/>
      <c r="M913" s="4"/>
      <c r="N913" s="4"/>
      <c r="O913" s="4"/>
      <c r="P913" s="5"/>
    </row>
    <row r="914" spans="4:16" ht="15.75" customHeight="1">
      <c r="D914" s="4"/>
      <c r="E914" s="4"/>
      <c r="F914" s="4"/>
      <c r="G914" s="49"/>
      <c r="H914" s="4"/>
      <c r="I914" s="4"/>
      <c r="J914" s="4"/>
      <c r="K914" s="4"/>
      <c r="L914" s="4"/>
      <c r="M914" s="4"/>
      <c r="N914" s="4"/>
      <c r="O914" s="4"/>
      <c r="P914" s="5"/>
    </row>
    <row r="915" spans="4:16" ht="15.75" customHeight="1">
      <c r="D915" s="4"/>
      <c r="E915" s="4"/>
      <c r="F915" s="4"/>
      <c r="G915" s="49"/>
      <c r="H915" s="4"/>
      <c r="I915" s="4"/>
      <c r="J915" s="4"/>
      <c r="K915" s="4"/>
      <c r="L915" s="4"/>
      <c r="M915" s="4"/>
      <c r="N915" s="4"/>
      <c r="O915" s="4"/>
      <c r="P915" s="5"/>
    </row>
    <row r="916" spans="4:16" ht="15.75" customHeight="1">
      <c r="D916" s="4"/>
      <c r="E916" s="4"/>
      <c r="F916" s="4"/>
      <c r="G916" s="49"/>
      <c r="H916" s="4"/>
      <c r="I916" s="4"/>
      <c r="J916" s="4"/>
      <c r="K916" s="4"/>
      <c r="L916" s="4"/>
      <c r="M916" s="4"/>
      <c r="N916" s="4"/>
      <c r="O916" s="4"/>
      <c r="P916" s="5"/>
    </row>
    <row r="917" spans="4:16" ht="15.75" customHeight="1">
      <c r="D917" s="4"/>
      <c r="E917" s="4"/>
      <c r="F917" s="4"/>
      <c r="G917" s="49"/>
      <c r="H917" s="4"/>
      <c r="I917" s="4"/>
      <c r="J917" s="4"/>
      <c r="K917" s="4"/>
      <c r="L917" s="4"/>
      <c r="M917" s="4"/>
      <c r="N917" s="4"/>
      <c r="O917" s="4"/>
      <c r="P917" s="5"/>
    </row>
    <row r="918" spans="4:16" ht="15.75" customHeight="1">
      <c r="D918" s="4"/>
      <c r="E918" s="4"/>
      <c r="F918" s="4"/>
      <c r="G918" s="49"/>
      <c r="H918" s="4"/>
      <c r="I918" s="4"/>
      <c r="J918" s="4"/>
      <c r="K918" s="4"/>
      <c r="L918" s="4"/>
      <c r="M918" s="4"/>
      <c r="N918" s="4"/>
      <c r="O918" s="4"/>
      <c r="P918" s="5"/>
    </row>
    <row r="919" spans="4:16" ht="15.75" customHeight="1">
      <c r="D919" s="4"/>
      <c r="E919" s="4"/>
      <c r="F919" s="4"/>
      <c r="G919" s="49"/>
      <c r="H919" s="4"/>
      <c r="I919" s="4"/>
      <c r="J919" s="4"/>
      <c r="K919" s="4"/>
      <c r="L919" s="4"/>
      <c r="M919" s="4"/>
      <c r="N919" s="4"/>
      <c r="O919" s="4"/>
      <c r="P919" s="5"/>
    </row>
    <row r="920" spans="4:16" ht="15.75" customHeight="1">
      <c r="D920" s="4"/>
      <c r="E920" s="4"/>
      <c r="F920" s="4"/>
      <c r="G920" s="49"/>
      <c r="H920" s="4"/>
      <c r="I920" s="4"/>
      <c r="J920" s="4"/>
      <c r="K920" s="4"/>
      <c r="L920" s="4"/>
      <c r="M920" s="4"/>
      <c r="N920" s="4"/>
      <c r="O920" s="4"/>
      <c r="P920" s="5"/>
    </row>
    <row r="921" spans="4:16" ht="15.75" customHeight="1">
      <c r="D921" s="4"/>
      <c r="E921" s="4"/>
      <c r="F921" s="4"/>
      <c r="G921" s="49"/>
      <c r="H921" s="4"/>
      <c r="I921" s="4"/>
      <c r="J921" s="4"/>
      <c r="K921" s="4"/>
      <c r="L921" s="4"/>
      <c r="M921" s="4"/>
      <c r="N921" s="4"/>
      <c r="O921" s="4"/>
      <c r="P921" s="5"/>
    </row>
    <row r="922" spans="4:16" ht="15.75" customHeight="1">
      <c r="D922" s="4"/>
      <c r="E922" s="4"/>
      <c r="F922" s="4"/>
      <c r="G922" s="49"/>
      <c r="H922" s="4"/>
      <c r="I922" s="4"/>
      <c r="J922" s="4"/>
      <c r="K922" s="4"/>
      <c r="L922" s="4"/>
      <c r="M922" s="4"/>
      <c r="N922" s="4"/>
      <c r="O922" s="4"/>
      <c r="P922" s="5"/>
    </row>
    <row r="923" spans="4:16" ht="15.75" customHeight="1">
      <c r="D923" s="4"/>
      <c r="E923" s="4"/>
      <c r="F923" s="4"/>
      <c r="G923" s="49"/>
      <c r="H923" s="4"/>
      <c r="I923" s="4"/>
      <c r="J923" s="4"/>
      <c r="K923" s="4"/>
      <c r="L923" s="4"/>
      <c r="M923" s="4"/>
      <c r="N923" s="4"/>
      <c r="O923" s="4"/>
      <c r="P923" s="5"/>
    </row>
    <row r="924" spans="4:16" ht="15.75" customHeight="1">
      <c r="D924" s="4"/>
      <c r="E924" s="4"/>
      <c r="F924" s="4"/>
      <c r="G924" s="49"/>
      <c r="H924" s="4"/>
      <c r="I924" s="4"/>
      <c r="J924" s="4"/>
      <c r="K924" s="4"/>
      <c r="L924" s="4"/>
      <c r="M924" s="4"/>
      <c r="N924" s="4"/>
      <c r="O924" s="4"/>
      <c r="P924" s="5"/>
    </row>
    <row r="925" spans="4:16" ht="15.75" customHeight="1">
      <c r="D925" s="4"/>
      <c r="E925" s="4"/>
      <c r="F925" s="4"/>
      <c r="G925" s="49"/>
      <c r="H925" s="4"/>
      <c r="I925" s="4"/>
      <c r="J925" s="4"/>
      <c r="K925" s="4"/>
      <c r="L925" s="4"/>
      <c r="M925" s="4"/>
      <c r="N925" s="4"/>
      <c r="O925" s="4"/>
      <c r="P925" s="5"/>
    </row>
    <row r="926" spans="4:16" ht="15.75" customHeight="1">
      <c r="D926" s="4"/>
      <c r="E926" s="4"/>
      <c r="F926" s="4"/>
      <c r="G926" s="49"/>
      <c r="H926" s="4"/>
      <c r="I926" s="4"/>
      <c r="J926" s="4"/>
      <c r="K926" s="4"/>
      <c r="L926" s="4"/>
      <c r="M926" s="4"/>
      <c r="N926" s="4"/>
      <c r="O926" s="4"/>
      <c r="P926" s="5"/>
    </row>
    <row r="927" spans="4:16" ht="15.75" customHeight="1">
      <c r="D927" s="4"/>
      <c r="E927" s="4"/>
      <c r="F927" s="4"/>
      <c r="G927" s="49"/>
      <c r="H927" s="4"/>
      <c r="I927" s="4"/>
      <c r="J927" s="4"/>
      <c r="K927" s="4"/>
      <c r="L927" s="4"/>
      <c r="M927" s="4"/>
      <c r="N927" s="4"/>
      <c r="O927" s="4"/>
      <c r="P927" s="5"/>
    </row>
    <row r="928" spans="4:16" ht="15.75" customHeight="1">
      <c r="D928" s="4"/>
      <c r="E928" s="4"/>
      <c r="F928" s="4"/>
      <c r="G928" s="49"/>
      <c r="H928" s="4"/>
      <c r="I928" s="4"/>
      <c r="J928" s="4"/>
      <c r="K928" s="4"/>
      <c r="L928" s="4"/>
      <c r="M928" s="4"/>
      <c r="N928" s="4"/>
      <c r="O928" s="4"/>
      <c r="P928" s="5"/>
    </row>
    <row r="929" spans="4:16" ht="15.75" customHeight="1">
      <c r="D929" s="4"/>
      <c r="E929" s="4"/>
      <c r="F929" s="4"/>
      <c r="G929" s="49"/>
      <c r="H929" s="4"/>
      <c r="I929" s="4"/>
      <c r="J929" s="4"/>
      <c r="K929" s="4"/>
      <c r="L929" s="4"/>
      <c r="M929" s="4"/>
      <c r="N929" s="4"/>
      <c r="O929" s="4"/>
      <c r="P929" s="5"/>
    </row>
    <row r="930" spans="4:16" ht="15.75" customHeight="1">
      <c r="D930" s="4"/>
      <c r="E930" s="4"/>
      <c r="F930" s="4"/>
      <c r="G930" s="49"/>
      <c r="H930" s="4"/>
      <c r="I930" s="4"/>
      <c r="J930" s="4"/>
      <c r="K930" s="4"/>
      <c r="L930" s="4"/>
      <c r="M930" s="4"/>
      <c r="N930" s="4"/>
      <c r="O930" s="4"/>
      <c r="P930" s="5"/>
    </row>
    <row r="931" spans="4:16" ht="15.75" customHeight="1">
      <c r="D931" s="4"/>
      <c r="E931" s="4"/>
      <c r="F931" s="4"/>
      <c r="G931" s="49"/>
      <c r="H931" s="4"/>
      <c r="I931" s="4"/>
      <c r="J931" s="4"/>
      <c r="K931" s="4"/>
      <c r="L931" s="4"/>
      <c r="M931" s="4"/>
      <c r="N931" s="4"/>
      <c r="O931" s="4"/>
      <c r="P931" s="5"/>
    </row>
    <row r="932" spans="4:16" ht="15.75" customHeight="1">
      <c r="D932" s="4"/>
      <c r="E932" s="4"/>
      <c r="F932" s="4"/>
      <c r="G932" s="49"/>
      <c r="H932" s="4"/>
      <c r="I932" s="4"/>
      <c r="J932" s="4"/>
      <c r="K932" s="4"/>
      <c r="L932" s="4"/>
      <c r="M932" s="4"/>
      <c r="N932" s="4"/>
      <c r="O932" s="4"/>
      <c r="P932" s="5"/>
    </row>
    <row r="933" spans="4:16" ht="15.75" customHeight="1">
      <c r="D933" s="4"/>
      <c r="E933" s="4"/>
      <c r="F933" s="4"/>
      <c r="G933" s="49"/>
      <c r="H933" s="4"/>
      <c r="I933" s="4"/>
      <c r="J933" s="4"/>
      <c r="K933" s="4"/>
      <c r="L933" s="4"/>
      <c r="M933" s="4"/>
      <c r="N933" s="4"/>
      <c r="O933" s="4"/>
      <c r="P933" s="5"/>
    </row>
    <row r="934" spans="4:16" ht="15.75" customHeight="1">
      <c r="D934" s="4"/>
      <c r="E934" s="4"/>
      <c r="F934" s="4"/>
      <c r="G934" s="49"/>
      <c r="H934" s="4"/>
      <c r="I934" s="4"/>
      <c r="J934" s="4"/>
      <c r="K934" s="4"/>
      <c r="L934" s="4"/>
      <c r="M934" s="4"/>
      <c r="N934" s="4"/>
      <c r="O934" s="4"/>
      <c r="P934" s="5"/>
    </row>
    <row r="935" spans="4:16" ht="15.75" customHeight="1">
      <c r="D935" s="4"/>
      <c r="E935" s="4"/>
      <c r="F935" s="4"/>
      <c r="G935" s="49"/>
      <c r="H935" s="4"/>
      <c r="I935" s="4"/>
      <c r="J935" s="4"/>
      <c r="K935" s="4"/>
      <c r="L935" s="4"/>
      <c r="M935" s="4"/>
      <c r="N935" s="4"/>
      <c r="O935" s="4"/>
      <c r="P935" s="5"/>
    </row>
    <row r="936" spans="4:16" ht="15.75" customHeight="1">
      <c r="D936" s="4"/>
      <c r="E936" s="4"/>
      <c r="F936" s="4"/>
      <c r="G936" s="49"/>
      <c r="H936" s="4"/>
      <c r="I936" s="4"/>
      <c r="J936" s="4"/>
      <c r="K936" s="4"/>
      <c r="L936" s="4"/>
      <c r="M936" s="4"/>
      <c r="N936" s="4"/>
      <c r="O936" s="4"/>
      <c r="P936" s="5"/>
    </row>
    <row r="937" spans="4:16" ht="15.75" customHeight="1">
      <c r="D937" s="4"/>
      <c r="E937" s="4"/>
      <c r="F937" s="4"/>
      <c r="G937" s="49"/>
      <c r="H937" s="4"/>
      <c r="I937" s="4"/>
      <c r="J937" s="4"/>
      <c r="K937" s="4"/>
      <c r="L937" s="4"/>
      <c r="M937" s="4"/>
      <c r="N937" s="4"/>
      <c r="O937" s="4"/>
      <c r="P937" s="5"/>
    </row>
    <row r="938" spans="4:16" ht="15.75" customHeight="1">
      <c r="D938" s="4"/>
      <c r="E938" s="4"/>
      <c r="F938" s="4"/>
      <c r="G938" s="49"/>
      <c r="H938" s="4"/>
      <c r="I938" s="4"/>
      <c r="J938" s="4"/>
      <c r="K938" s="4"/>
      <c r="L938" s="4"/>
      <c r="M938" s="4"/>
      <c r="N938" s="4"/>
      <c r="O938" s="4"/>
      <c r="P938" s="5"/>
    </row>
    <row r="939" spans="4:16" ht="15.75" customHeight="1">
      <c r="D939" s="4"/>
      <c r="E939" s="4"/>
      <c r="F939" s="4"/>
      <c r="G939" s="49"/>
      <c r="H939" s="4"/>
      <c r="I939" s="4"/>
      <c r="J939" s="4"/>
      <c r="K939" s="4"/>
      <c r="L939" s="4"/>
      <c r="M939" s="4"/>
      <c r="N939" s="4"/>
      <c r="O939" s="4"/>
      <c r="P939" s="5"/>
    </row>
    <row r="940" spans="4:16" ht="15.75" customHeight="1">
      <c r="D940" s="4"/>
      <c r="E940" s="4"/>
      <c r="F940" s="4"/>
      <c r="G940" s="49"/>
      <c r="H940" s="4"/>
      <c r="I940" s="4"/>
      <c r="J940" s="4"/>
      <c r="K940" s="4"/>
      <c r="L940" s="4"/>
      <c r="M940" s="4"/>
      <c r="N940" s="4"/>
      <c r="O940" s="4"/>
      <c r="P940" s="5"/>
    </row>
    <row r="941" spans="4:16" ht="15.75" customHeight="1">
      <c r="D941" s="4"/>
      <c r="E941" s="4"/>
      <c r="F941" s="4"/>
      <c r="G941" s="49"/>
      <c r="H941" s="4"/>
      <c r="I941" s="4"/>
      <c r="J941" s="4"/>
      <c r="K941" s="4"/>
      <c r="L941" s="4"/>
      <c r="M941" s="4"/>
      <c r="N941" s="4"/>
      <c r="O941" s="4"/>
      <c r="P941" s="5"/>
    </row>
    <row r="942" spans="4:16" ht="15.75" customHeight="1">
      <c r="D942" s="4"/>
      <c r="E942" s="4"/>
      <c r="F942" s="4"/>
      <c r="G942" s="49"/>
      <c r="H942" s="4"/>
      <c r="I942" s="4"/>
      <c r="J942" s="4"/>
      <c r="K942" s="4"/>
      <c r="L942" s="4"/>
      <c r="M942" s="4"/>
      <c r="N942" s="4"/>
      <c r="O942" s="4"/>
      <c r="P942" s="5"/>
    </row>
    <row r="943" spans="4:16" ht="15.75" customHeight="1">
      <c r="D943" s="4"/>
      <c r="E943" s="4"/>
      <c r="F943" s="4"/>
      <c r="G943" s="49"/>
      <c r="H943" s="4"/>
      <c r="I943" s="4"/>
      <c r="J943" s="4"/>
      <c r="K943" s="4"/>
      <c r="L943" s="4"/>
      <c r="M943" s="4"/>
      <c r="N943" s="4"/>
      <c r="O943" s="4"/>
      <c r="P943" s="5"/>
    </row>
    <row r="944" spans="4:16" ht="15.75" customHeight="1">
      <c r="D944" s="4"/>
      <c r="E944" s="4"/>
      <c r="F944" s="4"/>
      <c r="G944" s="49"/>
      <c r="H944" s="4"/>
      <c r="I944" s="4"/>
      <c r="J944" s="4"/>
      <c r="K944" s="4"/>
      <c r="L944" s="4"/>
      <c r="M944" s="4"/>
      <c r="N944" s="4"/>
      <c r="O944" s="4"/>
      <c r="P944" s="5"/>
    </row>
    <row r="945" spans="4:16" ht="15.75" customHeight="1">
      <c r="D945" s="4"/>
      <c r="E945" s="4"/>
      <c r="F945" s="4"/>
      <c r="G945" s="49"/>
      <c r="H945" s="4"/>
      <c r="I945" s="4"/>
      <c r="J945" s="4"/>
      <c r="K945" s="4"/>
      <c r="L945" s="4"/>
      <c r="M945" s="4"/>
      <c r="N945" s="4"/>
      <c r="O945" s="4"/>
      <c r="P945" s="5"/>
    </row>
    <row r="946" spans="4:16" ht="15.75" customHeight="1">
      <c r="D946" s="4"/>
      <c r="E946" s="4"/>
      <c r="F946" s="4"/>
      <c r="G946" s="49"/>
      <c r="H946" s="4"/>
      <c r="I946" s="4"/>
      <c r="J946" s="4"/>
      <c r="K946" s="4"/>
      <c r="L946" s="4"/>
      <c r="M946" s="4"/>
      <c r="N946" s="4"/>
      <c r="O946" s="4"/>
      <c r="P946" s="5"/>
    </row>
    <row r="947" spans="4:16" ht="15.75" customHeight="1">
      <c r="D947" s="4"/>
      <c r="E947" s="4"/>
      <c r="F947" s="4"/>
      <c r="G947" s="49"/>
      <c r="H947" s="4"/>
      <c r="I947" s="4"/>
      <c r="J947" s="4"/>
      <c r="K947" s="4"/>
      <c r="L947" s="4"/>
      <c r="M947" s="4"/>
      <c r="N947" s="4"/>
      <c r="O947" s="4"/>
      <c r="P947" s="5"/>
    </row>
    <row r="948" spans="4:16" ht="15.75" customHeight="1">
      <c r="D948" s="4"/>
      <c r="E948" s="4"/>
      <c r="F948" s="4"/>
      <c r="G948" s="49"/>
      <c r="H948" s="4"/>
      <c r="I948" s="4"/>
      <c r="J948" s="4"/>
      <c r="K948" s="4"/>
      <c r="L948" s="4"/>
      <c r="M948" s="4"/>
      <c r="N948" s="4"/>
      <c r="O948" s="4"/>
      <c r="P948" s="5"/>
    </row>
    <row r="949" spans="4:16" ht="15.75" customHeight="1">
      <c r="D949" s="4"/>
      <c r="E949" s="4"/>
      <c r="F949" s="4"/>
      <c r="G949" s="49"/>
      <c r="H949" s="4"/>
      <c r="I949" s="4"/>
      <c r="J949" s="4"/>
      <c r="K949" s="4"/>
      <c r="L949" s="4"/>
      <c r="M949" s="4"/>
      <c r="N949" s="4"/>
      <c r="O949" s="4"/>
      <c r="P949" s="5"/>
    </row>
    <row r="950" spans="4:16" ht="15.75" customHeight="1">
      <c r="D950" s="4"/>
      <c r="E950" s="4"/>
      <c r="F950" s="4"/>
      <c r="G950" s="49"/>
      <c r="H950" s="4"/>
      <c r="I950" s="4"/>
      <c r="J950" s="4"/>
      <c r="K950" s="4"/>
      <c r="L950" s="4"/>
      <c r="M950" s="4"/>
      <c r="N950" s="4"/>
      <c r="O950" s="4"/>
      <c r="P950" s="5"/>
    </row>
    <row r="951" spans="4:16" ht="15.75" customHeight="1">
      <c r="D951" s="4"/>
      <c r="E951" s="4"/>
      <c r="F951" s="4"/>
      <c r="G951" s="49"/>
      <c r="H951" s="4"/>
      <c r="I951" s="4"/>
      <c r="J951" s="4"/>
      <c r="K951" s="4"/>
      <c r="L951" s="4"/>
      <c r="M951" s="4"/>
      <c r="N951" s="4"/>
      <c r="O951" s="4"/>
      <c r="P951" s="5"/>
    </row>
    <row r="952" spans="4:16" ht="15.75" customHeight="1">
      <c r="D952" s="4"/>
      <c r="E952" s="4"/>
      <c r="F952" s="4"/>
      <c r="G952" s="49"/>
      <c r="H952" s="4"/>
      <c r="I952" s="4"/>
      <c r="J952" s="4"/>
      <c r="K952" s="4"/>
      <c r="L952" s="4"/>
      <c r="M952" s="4"/>
      <c r="N952" s="4"/>
      <c r="O952" s="4"/>
      <c r="P952" s="5"/>
    </row>
    <row r="953" spans="4:16" ht="15.75" customHeight="1">
      <c r="D953" s="4"/>
      <c r="E953" s="4"/>
      <c r="F953" s="4"/>
      <c r="G953" s="49"/>
      <c r="H953" s="4"/>
      <c r="I953" s="4"/>
      <c r="J953" s="4"/>
      <c r="K953" s="4"/>
      <c r="L953" s="4"/>
      <c r="M953" s="4"/>
      <c r="N953" s="4"/>
      <c r="O953" s="4"/>
      <c r="P953" s="5"/>
    </row>
    <row r="954" spans="4:16" ht="15.75" customHeight="1">
      <c r="D954" s="4"/>
      <c r="E954" s="4"/>
      <c r="F954" s="4"/>
      <c r="G954" s="49"/>
      <c r="H954" s="4"/>
      <c r="I954" s="4"/>
      <c r="J954" s="4"/>
      <c r="K954" s="4"/>
      <c r="L954" s="4"/>
      <c r="M954" s="4"/>
      <c r="N954" s="4"/>
      <c r="O954" s="4"/>
      <c r="P954" s="5"/>
    </row>
    <row r="955" spans="4:16" ht="15.75" customHeight="1">
      <c r="D955" s="4"/>
      <c r="E955" s="4"/>
      <c r="F955" s="4"/>
      <c r="G955" s="49"/>
      <c r="H955" s="4"/>
      <c r="I955" s="4"/>
      <c r="J955" s="4"/>
      <c r="K955" s="4"/>
      <c r="L955" s="4"/>
      <c r="M955" s="4"/>
      <c r="N955" s="4"/>
      <c r="O955" s="4"/>
      <c r="P955" s="5"/>
    </row>
    <row r="956" spans="4:16" ht="15.75" customHeight="1">
      <c r="D956" s="4"/>
      <c r="E956" s="4"/>
      <c r="F956" s="4"/>
      <c r="G956" s="49"/>
      <c r="H956" s="4"/>
      <c r="I956" s="4"/>
      <c r="J956" s="4"/>
      <c r="K956" s="4"/>
      <c r="L956" s="4"/>
      <c r="M956" s="4"/>
      <c r="N956" s="4"/>
      <c r="O956" s="4"/>
      <c r="P956" s="5"/>
    </row>
    <row r="957" spans="4:16" ht="15.75" customHeight="1">
      <c r="D957" s="4"/>
      <c r="E957" s="4"/>
      <c r="F957" s="4"/>
      <c r="G957" s="49"/>
      <c r="H957" s="4"/>
      <c r="I957" s="4"/>
      <c r="J957" s="4"/>
      <c r="K957" s="4"/>
      <c r="L957" s="4"/>
      <c r="M957" s="4"/>
      <c r="N957" s="4"/>
      <c r="O957" s="4"/>
      <c r="P957" s="5"/>
    </row>
    <row r="958" spans="4:16" ht="15.75" customHeight="1">
      <c r="D958" s="4"/>
      <c r="E958" s="4"/>
      <c r="F958" s="4"/>
      <c r="G958" s="49"/>
      <c r="H958" s="4"/>
      <c r="I958" s="4"/>
      <c r="J958" s="4"/>
      <c r="K958" s="4"/>
      <c r="L958" s="4"/>
      <c r="M958" s="4"/>
      <c r="N958" s="4"/>
      <c r="O958" s="4"/>
      <c r="P958" s="5"/>
    </row>
    <row r="959" spans="4:16" ht="15.75" customHeight="1">
      <c r="D959" s="4"/>
      <c r="E959" s="4"/>
      <c r="F959" s="4"/>
      <c r="G959" s="49"/>
      <c r="H959" s="4"/>
      <c r="I959" s="4"/>
      <c r="J959" s="4"/>
      <c r="K959" s="4"/>
      <c r="L959" s="4"/>
      <c r="M959" s="4"/>
      <c r="N959" s="4"/>
      <c r="O959" s="4"/>
      <c r="P959" s="5"/>
    </row>
    <row r="960" spans="4:16" ht="15.75" customHeight="1">
      <c r="D960" s="4"/>
      <c r="E960" s="4"/>
      <c r="F960" s="4"/>
      <c r="G960" s="49"/>
      <c r="H960" s="4"/>
      <c r="I960" s="4"/>
      <c r="J960" s="4"/>
      <c r="K960" s="4"/>
      <c r="L960" s="4"/>
      <c r="M960" s="4"/>
      <c r="N960" s="4"/>
      <c r="O960" s="4"/>
      <c r="P960" s="5"/>
    </row>
    <row r="961" spans="4:16" ht="15.75" customHeight="1">
      <c r="D961" s="4"/>
      <c r="E961" s="4"/>
      <c r="F961" s="4"/>
      <c r="G961" s="49"/>
      <c r="H961" s="4"/>
      <c r="I961" s="4"/>
      <c r="J961" s="4"/>
      <c r="K961" s="4"/>
      <c r="L961" s="4"/>
      <c r="M961" s="4"/>
      <c r="N961" s="4"/>
      <c r="O961" s="4"/>
      <c r="P961" s="5"/>
    </row>
    <row r="962" spans="4:16" ht="15.75" customHeight="1">
      <c r="D962" s="4"/>
      <c r="E962" s="4"/>
      <c r="F962" s="4"/>
      <c r="G962" s="49"/>
      <c r="H962" s="4"/>
      <c r="I962" s="4"/>
      <c r="J962" s="4"/>
      <c r="K962" s="4"/>
      <c r="L962" s="4"/>
      <c r="M962" s="4"/>
      <c r="N962" s="4"/>
      <c r="O962" s="4"/>
      <c r="P962" s="5"/>
    </row>
    <row r="963" spans="4:16" ht="15.75" customHeight="1">
      <c r="D963" s="4"/>
      <c r="E963" s="4"/>
      <c r="F963" s="4"/>
      <c r="G963" s="49"/>
      <c r="H963" s="4"/>
      <c r="I963" s="4"/>
      <c r="J963" s="4"/>
      <c r="K963" s="4"/>
      <c r="L963" s="4"/>
      <c r="M963" s="4"/>
      <c r="N963" s="4"/>
      <c r="O963" s="4"/>
      <c r="P963" s="5"/>
    </row>
    <row r="964" spans="4:16" ht="15.75" customHeight="1">
      <c r="D964" s="4"/>
      <c r="E964" s="4"/>
      <c r="F964" s="4"/>
      <c r="G964" s="49"/>
      <c r="H964" s="4"/>
      <c r="I964" s="4"/>
      <c r="J964" s="4"/>
      <c r="K964" s="4"/>
      <c r="L964" s="4"/>
      <c r="M964" s="4"/>
      <c r="N964" s="4"/>
      <c r="O964" s="4"/>
      <c r="P964" s="5"/>
    </row>
    <row r="965" spans="4:16" ht="15.75" customHeight="1">
      <c r="D965" s="4"/>
      <c r="E965" s="4"/>
      <c r="F965" s="4"/>
      <c r="G965" s="49"/>
      <c r="H965" s="4"/>
      <c r="I965" s="4"/>
      <c r="J965" s="4"/>
      <c r="K965" s="4"/>
      <c r="L965" s="4"/>
      <c r="M965" s="4"/>
      <c r="N965" s="4"/>
      <c r="O965" s="4"/>
      <c r="P965" s="5"/>
    </row>
    <row r="966" spans="4:16" ht="15.75" customHeight="1">
      <c r="D966" s="4"/>
      <c r="E966" s="4"/>
      <c r="F966" s="4"/>
      <c r="G966" s="49"/>
      <c r="H966" s="4"/>
      <c r="I966" s="4"/>
      <c r="J966" s="4"/>
      <c r="K966" s="4"/>
      <c r="L966" s="4"/>
      <c r="M966" s="4"/>
      <c r="N966" s="4"/>
      <c r="O966" s="4"/>
      <c r="P966" s="5"/>
    </row>
    <row r="967" spans="4:16" ht="15.75" customHeight="1">
      <c r="D967" s="4"/>
      <c r="E967" s="4"/>
      <c r="F967" s="4"/>
      <c r="G967" s="49"/>
      <c r="H967" s="4"/>
      <c r="I967" s="4"/>
      <c r="J967" s="4"/>
      <c r="K967" s="4"/>
      <c r="L967" s="4"/>
      <c r="M967" s="4"/>
      <c r="N967" s="4"/>
      <c r="O967" s="4"/>
      <c r="P967" s="5"/>
    </row>
    <row r="968" spans="4:16" ht="15.75" customHeight="1">
      <c r="D968" s="4"/>
      <c r="E968" s="4"/>
      <c r="F968" s="4"/>
      <c r="G968" s="49"/>
      <c r="H968" s="4"/>
      <c r="I968" s="4"/>
      <c r="J968" s="4"/>
      <c r="K968" s="4"/>
      <c r="L968" s="4"/>
      <c r="M968" s="4"/>
      <c r="N968" s="4"/>
      <c r="O968" s="4"/>
      <c r="P968" s="5"/>
    </row>
    <row r="969" spans="4:16" ht="15.75" customHeight="1">
      <c r="D969" s="4"/>
      <c r="E969" s="4"/>
      <c r="F969" s="4"/>
      <c r="G969" s="49"/>
      <c r="H969" s="4"/>
      <c r="I969" s="4"/>
      <c r="J969" s="4"/>
      <c r="K969" s="4"/>
      <c r="L969" s="4"/>
      <c r="M969" s="4"/>
      <c r="N969" s="4"/>
      <c r="O969" s="4"/>
      <c r="P969" s="5"/>
    </row>
    <row r="970" spans="4:16" ht="15.75" customHeight="1">
      <c r="D970" s="4"/>
      <c r="E970" s="4"/>
      <c r="F970" s="4"/>
      <c r="G970" s="49"/>
      <c r="H970" s="4"/>
      <c r="I970" s="4"/>
      <c r="J970" s="4"/>
      <c r="K970" s="4"/>
      <c r="L970" s="4"/>
      <c r="M970" s="4"/>
      <c r="N970" s="4"/>
      <c r="O970" s="4"/>
      <c r="P970" s="5"/>
    </row>
    <row r="971" spans="4:16" ht="15.75" customHeight="1">
      <c r="D971" s="4"/>
      <c r="E971" s="4"/>
      <c r="F971" s="4"/>
      <c r="G971" s="49"/>
      <c r="H971" s="4"/>
      <c r="I971" s="4"/>
      <c r="J971" s="4"/>
      <c r="K971" s="4"/>
      <c r="L971" s="4"/>
      <c r="M971" s="4"/>
      <c r="N971" s="4"/>
      <c r="O971" s="4"/>
      <c r="P971" s="5"/>
    </row>
    <row r="972" spans="4:16" ht="15.75" customHeight="1">
      <c r="D972" s="4"/>
      <c r="E972" s="4"/>
      <c r="F972" s="4"/>
      <c r="G972" s="49"/>
      <c r="H972" s="4"/>
      <c r="I972" s="4"/>
      <c r="J972" s="4"/>
      <c r="K972" s="4"/>
      <c r="L972" s="4"/>
      <c r="M972" s="4"/>
      <c r="N972" s="4"/>
      <c r="O972" s="4"/>
      <c r="P972" s="5"/>
    </row>
    <row r="973" spans="4:16" ht="15.75" customHeight="1">
      <c r="D973" s="4"/>
      <c r="E973" s="4"/>
      <c r="F973" s="4"/>
      <c r="G973" s="49"/>
      <c r="H973" s="4"/>
      <c r="I973" s="4"/>
      <c r="J973" s="4"/>
      <c r="K973" s="4"/>
      <c r="L973" s="4"/>
      <c r="M973" s="4"/>
      <c r="N973" s="4"/>
      <c r="O973" s="4"/>
      <c r="P973" s="5"/>
    </row>
    <row r="974" spans="4:16" ht="15.75" customHeight="1">
      <c r="D974" s="4"/>
      <c r="E974" s="4"/>
      <c r="F974" s="4"/>
      <c r="G974" s="49"/>
      <c r="H974" s="4"/>
      <c r="I974" s="4"/>
      <c r="J974" s="4"/>
      <c r="K974" s="4"/>
      <c r="L974" s="4"/>
      <c r="M974" s="4"/>
      <c r="N974" s="4"/>
      <c r="O974" s="4"/>
      <c r="P974" s="5"/>
    </row>
    <row r="975" spans="4:16" ht="15.75" customHeight="1">
      <c r="D975" s="4"/>
      <c r="E975" s="4"/>
      <c r="F975" s="4"/>
      <c r="G975" s="49"/>
      <c r="H975" s="4"/>
      <c r="I975" s="4"/>
      <c r="J975" s="4"/>
      <c r="K975" s="4"/>
      <c r="L975" s="4"/>
      <c r="M975" s="4"/>
      <c r="N975" s="4"/>
      <c r="O975" s="4"/>
      <c r="P975" s="5"/>
    </row>
    <row r="976" spans="4:16" ht="15.75" customHeight="1">
      <c r="D976" s="4"/>
      <c r="E976" s="4"/>
      <c r="F976" s="4"/>
      <c r="G976" s="49"/>
      <c r="H976" s="4"/>
      <c r="I976" s="4"/>
      <c r="J976" s="4"/>
      <c r="K976" s="4"/>
      <c r="L976" s="4"/>
      <c r="M976" s="4"/>
      <c r="N976" s="4"/>
      <c r="O976" s="4"/>
      <c r="P976" s="5"/>
    </row>
    <row r="977" spans="4:16" ht="15.75" customHeight="1">
      <c r="D977" s="4"/>
      <c r="E977" s="4"/>
      <c r="F977" s="4"/>
      <c r="G977" s="49"/>
      <c r="H977" s="4"/>
      <c r="I977" s="4"/>
      <c r="J977" s="4"/>
      <c r="K977" s="4"/>
      <c r="L977" s="4"/>
      <c r="M977" s="4"/>
      <c r="N977" s="4"/>
      <c r="O977" s="4"/>
      <c r="P977" s="5"/>
    </row>
    <row r="978" spans="4:16" ht="15.75" customHeight="1">
      <c r="D978" s="4"/>
      <c r="E978" s="4"/>
      <c r="F978" s="4"/>
      <c r="G978" s="49"/>
      <c r="H978" s="4"/>
      <c r="I978" s="4"/>
      <c r="J978" s="4"/>
      <c r="K978" s="4"/>
      <c r="L978" s="4"/>
      <c r="M978" s="4"/>
      <c r="N978" s="4"/>
      <c r="O978" s="4"/>
      <c r="P978" s="5"/>
    </row>
    <row r="979" spans="4:16" ht="15.75" customHeight="1">
      <c r="D979" s="4"/>
      <c r="E979" s="4"/>
      <c r="F979" s="4"/>
      <c r="G979" s="49"/>
      <c r="H979" s="4"/>
      <c r="I979" s="4"/>
      <c r="J979" s="4"/>
      <c r="K979" s="4"/>
      <c r="L979" s="4"/>
      <c r="M979" s="4"/>
      <c r="N979" s="4"/>
      <c r="O979" s="4"/>
      <c r="P979" s="5"/>
    </row>
    <row r="980" spans="4:16" ht="15.75" customHeight="1">
      <c r="D980" s="4"/>
      <c r="E980" s="4"/>
      <c r="F980" s="4"/>
      <c r="G980" s="49"/>
      <c r="H980" s="4"/>
      <c r="I980" s="4"/>
      <c r="J980" s="4"/>
      <c r="K980" s="4"/>
      <c r="L980" s="4"/>
      <c r="M980" s="4"/>
      <c r="N980" s="4"/>
      <c r="O980" s="4"/>
      <c r="P980" s="5"/>
    </row>
    <row r="981" spans="4:16" ht="15.75" customHeight="1">
      <c r="D981" s="4"/>
      <c r="E981" s="4"/>
      <c r="F981" s="4"/>
      <c r="G981" s="49"/>
      <c r="H981" s="4"/>
      <c r="I981" s="4"/>
      <c r="J981" s="4"/>
      <c r="K981" s="4"/>
      <c r="L981" s="4"/>
      <c r="M981" s="4"/>
      <c r="N981" s="4"/>
      <c r="O981" s="4"/>
      <c r="P981" s="5"/>
    </row>
    <row r="982" spans="4:16" ht="15.75" customHeight="1">
      <c r="D982" s="4"/>
      <c r="E982" s="4"/>
      <c r="F982" s="4"/>
      <c r="G982" s="49"/>
      <c r="H982" s="4"/>
      <c r="I982" s="4"/>
      <c r="J982" s="4"/>
      <c r="K982" s="4"/>
      <c r="L982" s="4"/>
      <c r="M982" s="4"/>
      <c r="N982" s="4"/>
      <c r="O982" s="4"/>
      <c r="P982" s="5"/>
    </row>
    <row r="983" spans="4:16" ht="15.75" customHeight="1">
      <c r="D983" s="4"/>
      <c r="E983" s="4"/>
      <c r="F983" s="4"/>
      <c r="G983" s="49"/>
      <c r="H983" s="4"/>
      <c r="I983" s="4"/>
      <c r="J983" s="4"/>
      <c r="K983" s="4"/>
      <c r="L983" s="4"/>
      <c r="M983" s="4"/>
      <c r="N983" s="4"/>
      <c r="O983" s="4"/>
      <c r="P983" s="5"/>
    </row>
    <row r="984" spans="4:16" ht="15.75" customHeight="1">
      <c r="D984" s="4"/>
      <c r="E984" s="4"/>
      <c r="F984" s="4"/>
      <c r="G984" s="49"/>
      <c r="H984" s="4"/>
      <c r="I984" s="4"/>
      <c r="J984" s="4"/>
      <c r="K984" s="4"/>
      <c r="L984" s="4"/>
      <c r="M984" s="4"/>
      <c r="N984" s="4"/>
      <c r="O984" s="4"/>
      <c r="P984" s="5"/>
    </row>
    <row r="985" spans="4:16" ht="15.75" customHeight="1">
      <c r="D985" s="4"/>
      <c r="E985" s="4"/>
      <c r="F985" s="4"/>
      <c r="G985" s="49"/>
      <c r="H985" s="4"/>
      <c r="I985" s="4"/>
      <c r="J985" s="4"/>
      <c r="K985" s="4"/>
      <c r="L985" s="4"/>
      <c r="M985" s="4"/>
      <c r="N985" s="4"/>
      <c r="O985" s="4"/>
      <c r="P985" s="5"/>
    </row>
    <row r="986" spans="4:16" ht="15.75" customHeight="1">
      <c r="D986" s="4"/>
      <c r="E986" s="4"/>
      <c r="F986" s="4"/>
      <c r="G986" s="49"/>
      <c r="H986" s="4"/>
      <c r="I986" s="4"/>
      <c r="J986" s="4"/>
      <c r="K986" s="4"/>
      <c r="L986" s="4"/>
      <c r="M986" s="4"/>
      <c r="N986" s="4"/>
      <c r="O986" s="4"/>
      <c r="P986" s="5"/>
    </row>
    <row r="987" spans="4:16" ht="15.75" customHeight="1">
      <c r="D987" s="4"/>
      <c r="E987" s="4"/>
      <c r="F987" s="4"/>
      <c r="G987" s="49"/>
      <c r="H987" s="4"/>
      <c r="I987" s="4"/>
      <c r="J987" s="4"/>
      <c r="K987" s="4"/>
      <c r="L987" s="4"/>
      <c r="M987" s="4"/>
      <c r="N987" s="4"/>
      <c r="O987" s="4"/>
      <c r="P987" s="5"/>
    </row>
    <row r="988" spans="4:16" ht="15.75" customHeight="1">
      <c r="D988" s="4"/>
      <c r="E988" s="4"/>
      <c r="F988" s="4"/>
      <c r="G988" s="49"/>
      <c r="H988" s="4"/>
      <c r="I988" s="4"/>
      <c r="J988" s="4"/>
      <c r="K988" s="4"/>
      <c r="L988" s="4"/>
      <c r="M988" s="4"/>
      <c r="N988" s="4"/>
      <c r="O988" s="4"/>
      <c r="P988" s="5"/>
    </row>
    <row r="989" spans="4:16" ht="15.75" customHeight="1">
      <c r="D989" s="4"/>
      <c r="E989" s="4"/>
      <c r="F989" s="4"/>
      <c r="G989" s="49"/>
      <c r="H989" s="4"/>
      <c r="I989" s="4"/>
      <c r="J989" s="4"/>
      <c r="K989" s="4"/>
      <c r="L989" s="4"/>
      <c r="M989" s="4"/>
      <c r="N989" s="4"/>
      <c r="O989" s="4"/>
      <c r="P989" s="5"/>
    </row>
    <row r="990" spans="4:16" ht="15.75" customHeight="1">
      <c r="D990" s="4"/>
      <c r="E990" s="4"/>
      <c r="F990" s="4"/>
      <c r="G990" s="49"/>
      <c r="H990" s="4"/>
      <c r="I990" s="4"/>
      <c r="J990" s="4"/>
      <c r="K990" s="4"/>
      <c r="L990" s="4"/>
      <c r="M990" s="4"/>
      <c r="N990" s="4"/>
      <c r="O990" s="4"/>
      <c r="P990" s="5"/>
    </row>
    <row r="991" spans="4:16" ht="15.75" customHeight="1">
      <c r="D991" s="4"/>
      <c r="E991" s="4"/>
      <c r="F991" s="4"/>
      <c r="G991" s="49"/>
      <c r="H991" s="4"/>
      <c r="I991" s="4"/>
      <c r="J991" s="4"/>
      <c r="K991" s="4"/>
      <c r="L991" s="4"/>
      <c r="M991" s="4"/>
      <c r="N991" s="4"/>
      <c r="O991" s="4"/>
      <c r="P991" s="5"/>
    </row>
    <row r="992" spans="4:16" ht="15.75" customHeight="1">
      <c r="D992" s="4"/>
      <c r="E992" s="4"/>
      <c r="F992" s="4"/>
      <c r="G992" s="49"/>
      <c r="H992" s="4"/>
      <c r="I992" s="4"/>
      <c r="J992" s="4"/>
      <c r="K992" s="4"/>
      <c r="L992" s="4"/>
      <c r="M992" s="4"/>
      <c r="N992" s="4"/>
      <c r="O992" s="4"/>
      <c r="P992" s="5"/>
    </row>
    <row r="993" spans="4:16" ht="15.75" customHeight="1">
      <c r="D993" s="4"/>
      <c r="E993" s="4"/>
      <c r="F993" s="4"/>
      <c r="G993" s="49"/>
      <c r="H993" s="4"/>
      <c r="I993" s="4"/>
      <c r="J993" s="4"/>
      <c r="K993" s="4"/>
      <c r="L993" s="4"/>
      <c r="M993" s="4"/>
      <c r="N993" s="4"/>
      <c r="O993" s="4"/>
      <c r="P993" s="5"/>
    </row>
    <row r="994" spans="4:16" ht="15.75" customHeight="1">
      <c r="D994" s="4"/>
      <c r="E994" s="4"/>
      <c r="F994" s="4"/>
      <c r="G994" s="49"/>
      <c r="H994" s="4"/>
      <c r="I994" s="4"/>
      <c r="J994" s="4"/>
      <c r="K994" s="4"/>
      <c r="L994" s="4"/>
      <c r="M994" s="4"/>
      <c r="N994" s="4"/>
      <c r="O994" s="4"/>
      <c r="P994" s="5"/>
    </row>
    <row r="995" spans="4:16" ht="15.75" customHeight="1">
      <c r="D995" s="4"/>
      <c r="E995" s="4"/>
      <c r="F995" s="4"/>
      <c r="G995" s="49"/>
      <c r="H995" s="4"/>
      <c r="I995" s="4"/>
      <c r="J995" s="4"/>
      <c r="K995" s="4"/>
      <c r="L995" s="4"/>
      <c r="M995" s="4"/>
      <c r="N995" s="4"/>
      <c r="O995" s="4"/>
      <c r="P995" s="5"/>
    </row>
    <row r="996" spans="4:16" ht="15.75" customHeight="1">
      <c r="D996" s="4"/>
      <c r="E996" s="4"/>
      <c r="F996" s="4"/>
      <c r="G996" s="49"/>
      <c r="H996" s="4"/>
      <c r="I996" s="4"/>
      <c r="J996" s="4"/>
      <c r="K996" s="4"/>
      <c r="L996" s="4"/>
      <c r="M996" s="4"/>
      <c r="N996" s="4"/>
      <c r="O996" s="4"/>
      <c r="P996" s="5"/>
    </row>
    <row r="997" spans="4:16" ht="15.75" customHeight="1">
      <c r="D997" s="4"/>
      <c r="E997" s="4"/>
      <c r="F997" s="4"/>
      <c r="G997" s="49"/>
      <c r="H997" s="4"/>
      <c r="I997" s="4"/>
      <c r="J997" s="4"/>
      <c r="K997" s="4"/>
      <c r="L997" s="4"/>
      <c r="M997" s="4"/>
      <c r="N997" s="4"/>
      <c r="O997" s="4"/>
      <c r="P997" s="5"/>
    </row>
    <row r="998" spans="4:16" ht="15.75" customHeight="1">
      <c r="D998" s="4"/>
      <c r="E998" s="4"/>
      <c r="F998" s="4"/>
      <c r="G998" s="49"/>
      <c r="H998" s="4"/>
      <c r="I998" s="4"/>
      <c r="J998" s="4"/>
      <c r="K998" s="4"/>
      <c r="L998" s="4"/>
      <c r="M998" s="4"/>
      <c r="N998" s="4"/>
      <c r="O998" s="4"/>
      <c r="P998" s="5"/>
    </row>
  </sheetData>
  <autoFilter ref="A1:P368" xr:uid="{00000000-0009-0000-0000-000001000000}">
    <filterColumn colId="5">
      <filters>
        <filter val="TopHat-Fusion"/>
      </filters>
    </filterColumn>
  </autoFilter>
  <mergeCells count="13">
    <mergeCell ref="E327:E334"/>
    <mergeCell ref="E26:E49"/>
    <mergeCell ref="E91:E97"/>
    <mergeCell ref="E112:E123"/>
    <mergeCell ref="E136:E139"/>
    <mergeCell ref="E155:E160"/>
    <mergeCell ref="E161:E166"/>
    <mergeCell ref="E173:E178"/>
    <mergeCell ref="E243:E258"/>
    <mergeCell ref="E259:E274"/>
    <mergeCell ref="E275:E290"/>
    <mergeCell ref="E300:E308"/>
    <mergeCell ref="E309:E317"/>
  </mergeCells>
  <hyperlinks>
    <hyperlink ref="B77" r:id="rId1" xr:uid="{00000000-0004-0000-0100-000000000000}"/>
    <hyperlink ref="B84" r:id="rId2" xr:uid="{00000000-0004-0000-0100-000001000000}"/>
    <hyperlink ref="B91" r:id="rId3" xr:uid="{00000000-0004-0000-0100-000002000000}"/>
    <hyperlink ref="B98" r:id="rId4" xr:uid="{00000000-0004-0000-0100-000003000000}"/>
    <hyperlink ref="B105" r:id="rId5" xr:uid="{00000000-0004-0000-0100-000004000000}"/>
    <hyperlink ref="B136" r:id="rId6" xr:uid="{00000000-0004-0000-0100-000005000000}"/>
    <hyperlink ref="B137" r:id="rId7" xr:uid="{00000000-0004-0000-0100-000006000000}"/>
    <hyperlink ref="B138" r:id="rId8" xr:uid="{00000000-0004-0000-0100-000007000000}"/>
    <hyperlink ref="B155" r:id="rId9" xr:uid="{00000000-0004-0000-0100-000008000000}"/>
    <hyperlink ref="B156" r:id="rId10" xr:uid="{00000000-0004-0000-0100-000009000000}"/>
    <hyperlink ref="B157" r:id="rId11" xr:uid="{00000000-0004-0000-0100-00000A000000}"/>
    <hyperlink ref="B179" r:id="rId12" xr:uid="{00000000-0004-0000-0100-00000B000000}"/>
    <hyperlink ref="B180" r:id="rId13" xr:uid="{00000000-0004-0000-0100-00000C000000}"/>
    <hyperlink ref="B217" r:id="rId14" xr:uid="{00000000-0004-0000-0100-00000D000000}"/>
    <hyperlink ref="B221" r:id="rId15" xr:uid="{00000000-0004-0000-0100-00000E000000}"/>
    <hyperlink ref="B259" r:id="rId16" xr:uid="{00000000-0004-0000-0100-00000F000000}"/>
    <hyperlink ref="B263" r:id="rId17" xr:uid="{00000000-0004-0000-0100-000010000000}"/>
    <hyperlink ref="B291" r:id="rId18" xr:uid="{00000000-0004-0000-0100-000011000000}"/>
    <hyperlink ref="B299" r:id="rId19" xr:uid="{00000000-0004-0000-0100-000012000000}"/>
    <hyperlink ref="B300" r:id="rId20" xr:uid="{00000000-0004-0000-0100-000013000000}"/>
    <hyperlink ref="B302" r:id="rId21" xr:uid="{00000000-0004-0000-0100-000014000000}"/>
    <hyperlink ref="B322" r:id="rId22" xr:uid="{00000000-0004-0000-0100-000015000000}"/>
    <hyperlink ref="B344" r:id="rId23" xr:uid="{00000000-0004-0000-0100-000016000000}"/>
    <hyperlink ref="B345" r:id="rId24" xr:uid="{00000000-0004-0000-0100-000017000000}"/>
    <hyperlink ref="B346" r:id="rId25" xr:uid="{00000000-0004-0000-0100-000018000000}"/>
    <hyperlink ref="B357" r:id="rId26" xr:uid="{00000000-0004-0000-0100-000019000000}"/>
    <hyperlink ref="B363" r:id="rId27" xr:uid="{00000000-0004-0000-0100-00001A000000}"/>
    <hyperlink ref="B368" r:id="rId28" xr:uid="{00000000-0004-0000-0100-00001C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00"/>
  <sheetViews>
    <sheetView workbookViewId="0"/>
  </sheetViews>
  <sheetFormatPr baseColWidth="10" defaultColWidth="11.1640625" defaultRowHeight="15" customHeight="1"/>
  <cols>
    <col min="1" max="26" width="8.33203125" customWidth="1"/>
  </cols>
  <sheetData>
    <row r="1" spans="1:18" ht="15.75" customHeight="1">
      <c r="A1" s="13" t="s">
        <v>380</v>
      </c>
      <c r="B1" s="13" t="s">
        <v>261</v>
      </c>
      <c r="C1" s="13" t="s">
        <v>262</v>
      </c>
      <c r="D1" s="13" t="s">
        <v>263</v>
      </c>
      <c r="E1" s="13" t="s">
        <v>264</v>
      </c>
      <c r="F1" s="13" t="s">
        <v>265</v>
      </c>
      <c r="G1" s="13" t="s">
        <v>266</v>
      </c>
      <c r="H1" s="13" t="s">
        <v>267</v>
      </c>
      <c r="I1" s="13" t="s">
        <v>268</v>
      </c>
      <c r="J1" s="13" t="s">
        <v>269</v>
      </c>
      <c r="K1" s="13" t="s">
        <v>270</v>
      </c>
      <c r="L1" s="13" t="s">
        <v>271</v>
      </c>
      <c r="M1" s="13" t="s">
        <v>272</v>
      </c>
      <c r="N1" s="13" t="s">
        <v>273</v>
      </c>
      <c r="O1" s="13" t="s">
        <v>274</v>
      </c>
      <c r="P1" s="13" t="s">
        <v>275</v>
      </c>
      <c r="Q1" s="13" t="s">
        <v>276</v>
      </c>
      <c r="R1" s="13" t="s">
        <v>277</v>
      </c>
    </row>
    <row r="2" spans="1:18" ht="15.75" customHeight="1">
      <c r="A2" s="13">
        <v>1</v>
      </c>
      <c r="B2" s="13" t="s">
        <v>2</v>
      </c>
      <c r="C2" s="13" t="s">
        <v>278</v>
      </c>
      <c r="D2" s="13" t="s">
        <v>279</v>
      </c>
      <c r="F2" s="13" t="s">
        <v>19</v>
      </c>
      <c r="H2" s="13">
        <v>445</v>
      </c>
      <c r="I2" s="13">
        <v>2</v>
      </c>
      <c r="K2" s="13">
        <v>500</v>
      </c>
      <c r="L2" s="13">
        <v>0.89</v>
      </c>
      <c r="M2" s="13">
        <v>1</v>
      </c>
      <c r="N2" s="13">
        <v>0.94179894179894175</v>
      </c>
    </row>
    <row r="3" spans="1:18" ht="15.75" customHeight="1">
      <c r="A3" s="13">
        <v>1</v>
      </c>
      <c r="B3" s="13" t="s">
        <v>2</v>
      </c>
      <c r="C3" s="13" t="s">
        <v>278</v>
      </c>
      <c r="D3" s="13" t="s">
        <v>279</v>
      </c>
      <c r="F3" s="13" t="s">
        <v>280</v>
      </c>
      <c r="H3" s="13">
        <v>443</v>
      </c>
      <c r="I3" s="13">
        <v>11</v>
      </c>
      <c r="K3" s="13">
        <v>500</v>
      </c>
      <c r="L3" s="13">
        <v>0.89</v>
      </c>
      <c r="M3" s="13">
        <v>0.98</v>
      </c>
      <c r="N3" s="13">
        <v>0.93283422459893039</v>
      </c>
    </row>
    <row r="4" spans="1:18" ht="15.75" customHeight="1">
      <c r="A4" s="13">
        <v>1</v>
      </c>
      <c r="B4" s="13" t="s">
        <v>2</v>
      </c>
      <c r="C4" s="13" t="s">
        <v>278</v>
      </c>
      <c r="D4" s="13" t="s">
        <v>279</v>
      </c>
      <c r="F4" s="13" t="s">
        <v>281</v>
      </c>
      <c r="H4" s="13">
        <v>422</v>
      </c>
      <c r="I4" s="13">
        <v>9</v>
      </c>
      <c r="K4" s="13">
        <v>500</v>
      </c>
      <c r="L4" s="13">
        <v>0.84</v>
      </c>
      <c r="M4" s="13">
        <v>0.98</v>
      </c>
      <c r="N4" s="13">
        <v>0.9046153846153846</v>
      </c>
    </row>
    <row r="5" spans="1:18" ht="15.75" customHeight="1">
      <c r="A5" s="13">
        <v>1</v>
      </c>
      <c r="B5" s="13" t="s">
        <v>2</v>
      </c>
      <c r="C5" s="13" t="s">
        <v>278</v>
      </c>
      <c r="D5" s="13" t="s">
        <v>279</v>
      </c>
      <c r="F5" s="13" t="s">
        <v>282</v>
      </c>
      <c r="H5" s="13">
        <v>421</v>
      </c>
      <c r="I5" s="13">
        <v>13</v>
      </c>
      <c r="K5" s="13">
        <v>500</v>
      </c>
      <c r="L5" s="13">
        <v>0.84</v>
      </c>
      <c r="M5" s="13">
        <v>0.97</v>
      </c>
      <c r="N5" s="13">
        <v>0.9003314917127071</v>
      </c>
    </row>
    <row r="6" spans="1:18" ht="15.75" customHeight="1">
      <c r="A6" s="13">
        <v>1</v>
      </c>
      <c r="B6" s="13" t="s">
        <v>2</v>
      </c>
      <c r="C6" s="13" t="s">
        <v>278</v>
      </c>
      <c r="D6" s="13" t="s">
        <v>279</v>
      </c>
      <c r="F6" s="13" t="s">
        <v>82</v>
      </c>
      <c r="H6" s="13">
        <v>415</v>
      </c>
      <c r="I6" s="13">
        <v>15</v>
      </c>
      <c r="K6" s="13">
        <v>500</v>
      </c>
      <c r="L6" s="13">
        <v>0.83</v>
      </c>
      <c r="M6" s="13">
        <v>0.97</v>
      </c>
      <c r="N6" s="13">
        <v>0.89455555555555555</v>
      </c>
    </row>
    <row r="7" spans="1:18" ht="15.75" customHeight="1">
      <c r="A7" s="13">
        <v>1</v>
      </c>
      <c r="B7" s="13" t="s">
        <v>2</v>
      </c>
      <c r="C7" s="13" t="s">
        <v>278</v>
      </c>
      <c r="D7" s="13" t="s">
        <v>279</v>
      </c>
      <c r="F7" s="13" t="s">
        <v>283</v>
      </c>
      <c r="H7" s="13">
        <v>420</v>
      </c>
      <c r="I7" s="13">
        <v>21</v>
      </c>
      <c r="K7" s="13">
        <v>500</v>
      </c>
      <c r="L7" s="13">
        <v>0.84</v>
      </c>
      <c r="M7" s="13">
        <v>0.95</v>
      </c>
      <c r="N7" s="13">
        <v>0.89162011173184352</v>
      </c>
    </row>
    <row r="8" spans="1:18" ht="15.75" customHeight="1">
      <c r="A8" s="13">
        <v>1</v>
      </c>
      <c r="B8" s="13" t="s">
        <v>2</v>
      </c>
      <c r="C8" s="13" t="s">
        <v>278</v>
      </c>
      <c r="D8" s="13" t="s">
        <v>279</v>
      </c>
      <c r="F8" s="13" t="s">
        <v>99</v>
      </c>
      <c r="H8" s="13">
        <v>403</v>
      </c>
      <c r="I8" s="13">
        <v>5</v>
      </c>
      <c r="K8" s="13">
        <v>500</v>
      </c>
      <c r="L8" s="13">
        <v>0.81</v>
      </c>
      <c r="M8" s="13">
        <v>0.99</v>
      </c>
      <c r="N8" s="13">
        <v>0.89100000000000001</v>
      </c>
    </row>
    <row r="9" spans="1:18" ht="15.75" customHeight="1">
      <c r="A9" s="13">
        <v>1</v>
      </c>
      <c r="B9" s="13" t="s">
        <v>2</v>
      </c>
      <c r="C9" s="13" t="s">
        <v>278</v>
      </c>
      <c r="D9" s="13" t="s">
        <v>279</v>
      </c>
      <c r="F9" s="13" t="s">
        <v>22</v>
      </c>
      <c r="H9" s="13">
        <v>394</v>
      </c>
      <c r="I9" s="13">
        <v>8</v>
      </c>
      <c r="K9" s="13">
        <v>500</v>
      </c>
      <c r="L9" s="13">
        <v>0.79</v>
      </c>
      <c r="M9" s="13">
        <v>0.98</v>
      </c>
      <c r="N9" s="13">
        <v>0.87480225988700566</v>
      </c>
    </row>
    <row r="10" spans="1:18" ht="15.75" customHeight="1">
      <c r="A10" s="13">
        <v>1</v>
      </c>
      <c r="B10" s="13" t="s">
        <v>2</v>
      </c>
      <c r="C10" s="13" t="s">
        <v>278</v>
      </c>
      <c r="D10" s="13" t="s">
        <v>279</v>
      </c>
      <c r="F10" s="13" t="s">
        <v>284</v>
      </c>
      <c r="H10" s="13">
        <v>389</v>
      </c>
      <c r="I10" s="13">
        <v>2</v>
      </c>
      <c r="K10" s="13">
        <v>500</v>
      </c>
      <c r="L10" s="13">
        <v>0.78</v>
      </c>
      <c r="M10" s="13">
        <v>0.99</v>
      </c>
      <c r="N10" s="13">
        <v>0.87254237288135594</v>
      </c>
    </row>
    <row r="11" spans="1:18" ht="15.75" customHeight="1">
      <c r="A11" s="13">
        <v>1</v>
      </c>
      <c r="B11" s="13" t="s">
        <v>2</v>
      </c>
      <c r="C11" s="13" t="s">
        <v>278</v>
      </c>
      <c r="D11" s="13" t="s">
        <v>279</v>
      </c>
      <c r="F11" s="13" t="s">
        <v>285</v>
      </c>
      <c r="H11" s="13">
        <v>387</v>
      </c>
      <c r="I11" s="13">
        <v>8</v>
      </c>
      <c r="K11" s="13">
        <v>500</v>
      </c>
      <c r="L11" s="13">
        <v>0.77</v>
      </c>
      <c r="M11" s="13">
        <v>0.98</v>
      </c>
      <c r="N11" s="13">
        <v>0.86240000000000006</v>
      </c>
    </row>
    <row r="12" spans="1:18" ht="15.75" customHeight="1">
      <c r="A12" s="13">
        <v>1</v>
      </c>
      <c r="B12" s="13" t="s">
        <v>2</v>
      </c>
      <c r="C12" s="13" t="s">
        <v>278</v>
      </c>
      <c r="D12" s="13" t="s">
        <v>279</v>
      </c>
      <c r="F12" s="13" t="s">
        <v>193</v>
      </c>
      <c r="H12" s="13">
        <v>378</v>
      </c>
      <c r="I12" s="13">
        <v>4</v>
      </c>
      <c r="K12" s="13">
        <v>500</v>
      </c>
      <c r="L12" s="13">
        <v>0.76</v>
      </c>
      <c r="M12" s="13">
        <v>0.99</v>
      </c>
      <c r="N12" s="13">
        <v>0.85988571428571425</v>
      </c>
    </row>
    <row r="13" spans="1:18" ht="15.75" customHeight="1">
      <c r="A13" s="13">
        <v>1</v>
      </c>
      <c r="B13" s="13" t="s">
        <v>2</v>
      </c>
      <c r="C13" s="13" t="s">
        <v>278</v>
      </c>
      <c r="D13" s="13" t="s">
        <v>279</v>
      </c>
      <c r="F13" s="13" t="s">
        <v>25</v>
      </c>
      <c r="H13" s="13">
        <v>363</v>
      </c>
      <c r="I13" s="13">
        <v>1</v>
      </c>
      <c r="K13" s="13">
        <v>500</v>
      </c>
      <c r="L13" s="13">
        <v>0.73</v>
      </c>
      <c r="M13" s="13">
        <v>1</v>
      </c>
      <c r="N13" s="13">
        <v>0.84393063583815031</v>
      </c>
    </row>
    <row r="14" spans="1:18" ht="15.75" customHeight="1">
      <c r="A14" s="13">
        <v>1</v>
      </c>
      <c r="B14" s="13" t="s">
        <v>2</v>
      </c>
      <c r="C14" s="13" t="s">
        <v>278</v>
      </c>
      <c r="D14" s="13" t="s">
        <v>279</v>
      </c>
      <c r="F14" s="13" t="s">
        <v>286</v>
      </c>
      <c r="H14" s="13">
        <v>363</v>
      </c>
      <c r="I14" s="13">
        <v>3</v>
      </c>
      <c r="K14" s="13">
        <v>500</v>
      </c>
      <c r="L14" s="13">
        <v>0.73</v>
      </c>
      <c r="M14" s="13">
        <v>0.99</v>
      </c>
      <c r="N14" s="13">
        <v>0.84034883720930231</v>
      </c>
    </row>
    <row r="15" spans="1:18" ht="15.75" customHeight="1">
      <c r="A15" s="13">
        <v>1</v>
      </c>
      <c r="B15" s="13" t="s">
        <v>2</v>
      </c>
      <c r="C15" s="13" t="s">
        <v>278</v>
      </c>
      <c r="D15" s="13" t="s">
        <v>279</v>
      </c>
      <c r="F15" s="13" t="s">
        <v>37</v>
      </c>
      <c r="H15" s="13">
        <v>358</v>
      </c>
      <c r="I15" s="13">
        <v>2</v>
      </c>
      <c r="K15" s="13">
        <v>500</v>
      </c>
      <c r="L15" s="13">
        <v>0.72</v>
      </c>
      <c r="M15" s="13">
        <v>0.99</v>
      </c>
      <c r="N15" s="13">
        <v>0.83368421052631581</v>
      </c>
    </row>
    <row r="16" spans="1:18" ht="15.75" customHeight="1">
      <c r="A16" s="13">
        <v>1</v>
      </c>
      <c r="B16" s="13" t="s">
        <v>2</v>
      </c>
      <c r="C16" s="13" t="s">
        <v>278</v>
      </c>
      <c r="D16" s="13" t="s">
        <v>279</v>
      </c>
      <c r="F16" s="13" t="s">
        <v>21</v>
      </c>
      <c r="H16" s="13">
        <v>416</v>
      </c>
      <c r="I16" s="13">
        <v>84</v>
      </c>
      <c r="K16" s="13">
        <v>500</v>
      </c>
      <c r="L16" s="13">
        <v>0.83</v>
      </c>
      <c r="M16" s="13">
        <v>0.83</v>
      </c>
      <c r="N16" s="13">
        <v>0.83</v>
      </c>
    </row>
    <row r="17" spans="1:18" ht="15.75" customHeight="1">
      <c r="A17" s="13">
        <v>1</v>
      </c>
      <c r="B17" s="13" t="s">
        <v>2</v>
      </c>
      <c r="C17" s="13" t="s">
        <v>278</v>
      </c>
      <c r="D17" s="13" t="s">
        <v>279</v>
      </c>
      <c r="F17" s="13" t="s">
        <v>107</v>
      </c>
      <c r="H17" s="13">
        <v>360</v>
      </c>
      <c r="I17" s="13">
        <v>10</v>
      </c>
      <c r="K17" s="13">
        <v>500</v>
      </c>
      <c r="L17" s="13">
        <v>0.72</v>
      </c>
      <c r="M17" s="13">
        <v>0.97</v>
      </c>
      <c r="N17" s="13">
        <v>0.82650887573964493</v>
      </c>
    </row>
    <row r="18" spans="1:18" ht="15.75" customHeight="1">
      <c r="A18" s="13">
        <v>1</v>
      </c>
      <c r="B18" s="13" t="s">
        <v>2</v>
      </c>
      <c r="C18" s="13" t="s">
        <v>278</v>
      </c>
      <c r="D18" s="13" t="s">
        <v>279</v>
      </c>
      <c r="F18" s="13" t="s">
        <v>287</v>
      </c>
      <c r="H18" s="13">
        <v>344</v>
      </c>
      <c r="I18" s="13">
        <v>2</v>
      </c>
      <c r="K18" s="13">
        <v>500</v>
      </c>
      <c r="L18" s="13">
        <v>0.69</v>
      </c>
      <c r="M18" s="13">
        <v>0.99</v>
      </c>
      <c r="N18" s="13">
        <v>0.81321428571428567</v>
      </c>
    </row>
    <row r="19" spans="1:18" ht="15.75" customHeight="1">
      <c r="A19" s="13">
        <v>1</v>
      </c>
      <c r="B19" s="13" t="s">
        <v>2</v>
      </c>
      <c r="C19" s="13" t="s">
        <v>278</v>
      </c>
      <c r="D19" s="13" t="s">
        <v>279</v>
      </c>
      <c r="F19" s="13" t="s">
        <v>40</v>
      </c>
      <c r="H19" s="13">
        <v>332</v>
      </c>
      <c r="I19" s="13">
        <v>1</v>
      </c>
      <c r="K19" s="13">
        <v>500</v>
      </c>
      <c r="L19" s="13">
        <v>0.66</v>
      </c>
      <c r="M19" s="13">
        <v>1</v>
      </c>
      <c r="N19" s="13">
        <v>0.79518072289156627</v>
      </c>
    </row>
    <row r="20" spans="1:18" ht="15.75" customHeight="1">
      <c r="A20" s="13">
        <v>1</v>
      </c>
      <c r="B20" s="13" t="s">
        <v>2</v>
      </c>
      <c r="C20" s="13" t="s">
        <v>278</v>
      </c>
      <c r="D20" s="13" t="s">
        <v>279</v>
      </c>
      <c r="F20" s="13" t="s">
        <v>16</v>
      </c>
      <c r="H20" s="13">
        <v>343</v>
      </c>
      <c r="I20" s="13">
        <v>31</v>
      </c>
      <c r="K20" s="13">
        <v>500</v>
      </c>
      <c r="L20" s="13">
        <v>0.69</v>
      </c>
      <c r="M20" s="13">
        <v>0.92</v>
      </c>
      <c r="N20" s="13">
        <v>0.7885714285714287</v>
      </c>
    </row>
    <row r="21" spans="1:18" ht="15.75" customHeight="1">
      <c r="A21" s="13">
        <v>1</v>
      </c>
      <c r="B21" s="13" t="s">
        <v>2</v>
      </c>
      <c r="C21" s="13" t="s">
        <v>278</v>
      </c>
      <c r="D21" s="13" t="s">
        <v>279</v>
      </c>
      <c r="F21" s="13" t="s">
        <v>288</v>
      </c>
      <c r="H21" s="13">
        <v>333</v>
      </c>
      <c r="I21" s="13">
        <v>68</v>
      </c>
      <c r="K21" s="13">
        <v>500</v>
      </c>
      <c r="L21" s="13">
        <v>0.67</v>
      </c>
      <c r="M21" s="13">
        <v>0.83</v>
      </c>
      <c r="N21" s="13">
        <v>0.74146666666666672</v>
      </c>
    </row>
    <row r="22" spans="1:18" ht="15.75" customHeight="1">
      <c r="A22" s="13">
        <v>1</v>
      </c>
      <c r="B22" s="13" t="s">
        <v>2</v>
      </c>
      <c r="C22" s="13" t="s">
        <v>278</v>
      </c>
      <c r="D22" s="13" t="s">
        <v>279</v>
      </c>
      <c r="F22" s="13" t="s">
        <v>289</v>
      </c>
      <c r="H22" s="13">
        <v>278</v>
      </c>
      <c r="I22" s="13">
        <v>1</v>
      </c>
      <c r="K22" s="13">
        <v>500</v>
      </c>
      <c r="L22" s="13">
        <v>0.56000000000000005</v>
      </c>
      <c r="M22" s="13">
        <v>1</v>
      </c>
      <c r="N22" s="13">
        <v>0.71794871794871795</v>
      </c>
    </row>
    <row r="23" spans="1:18" ht="15.75" customHeight="1">
      <c r="A23" s="13">
        <v>1</v>
      </c>
      <c r="B23" s="13" t="s">
        <v>2</v>
      </c>
      <c r="C23" s="13" t="s">
        <v>278</v>
      </c>
      <c r="D23" s="13" t="s">
        <v>279</v>
      </c>
      <c r="F23" s="13" t="s">
        <v>23</v>
      </c>
      <c r="H23" s="13">
        <v>281</v>
      </c>
      <c r="I23" s="13">
        <v>2</v>
      </c>
      <c r="K23" s="13">
        <v>500</v>
      </c>
      <c r="L23" s="13">
        <v>0.56000000000000005</v>
      </c>
      <c r="M23" s="13">
        <v>0.99</v>
      </c>
      <c r="N23" s="13">
        <v>0.71535483870967742</v>
      </c>
    </row>
    <row r="24" spans="1:18" ht="15.75" customHeight="1">
      <c r="A24" s="13">
        <v>1</v>
      </c>
      <c r="B24" s="13" t="s">
        <v>2</v>
      </c>
      <c r="C24" s="13" t="s">
        <v>278</v>
      </c>
      <c r="D24" s="13" t="s">
        <v>279</v>
      </c>
      <c r="F24" s="13" t="s">
        <v>39</v>
      </c>
      <c r="H24" s="13">
        <v>200</v>
      </c>
      <c r="I24" s="13">
        <v>2</v>
      </c>
      <c r="K24" s="13">
        <v>500</v>
      </c>
      <c r="L24" s="13">
        <v>0.4</v>
      </c>
      <c r="M24" s="13">
        <v>0.99</v>
      </c>
      <c r="N24" s="13">
        <v>0.56978417266187043</v>
      </c>
    </row>
    <row r="25" spans="1:18" ht="15.75" customHeight="1">
      <c r="A25" s="13">
        <v>1</v>
      </c>
      <c r="B25" s="13" t="s">
        <v>2</v>
      </c>
      <c r="C25" s="13" t="s">
        <v>278</v>
      </c>
      <c r="D25" s="13" t="s">
        <v>279</v>
      </c>
      <c r="F25" s="13" t="s">
        <v>88</v>
      </c>
      <c r="H25" s="13">
        <v>183</v>
      </c>
      <c r="I25" s="13">
        <v>5</v>
      </c>
      <c r="K25" s="13">
        <v>500</v>
      </c>
      <c r="L25" s="13">
        <v>0.37</v>
      </c>
      <c r="M25" s="13">
        <v>0.97</v>
      </c>
      <c r="N25" s="13">
        <v>0.53567164179104487</v>
      </c>
    </row>
    <row r="26" spans="1:18" ht="15.75" customHeight="1">
      <c r="A26" s="13">
        <v>1</v>
      </c>
      <c r="B26" s="13" t="s">
        <v>2</v>
      </c>
      <c r="C26" s="13" t="s">
        <v>290</v>
      </c>
      <c r="D26" s="13" t="s">
        <v>279</v>
      </c>
      <c r="E26" s="13" t="s">
        <v>291</v>
      </c>
      <c r="F26" s="13" t="s">
        <v>19</v>
      </c>
      <c r="H26" s="13">
        <v>2339</v>
      </c>
      <c r="I26" s="13">
        <v>10</v>
      </c>
      <c r="K26" s="13">
        <v>2500</v>
      </c>
      <c r="L26" s="13">
        <v>0.94</v>
      </c>
      <c r="M26" s="13">
        <v>1</v>
      </c>
      <c r="N26" s="13">
        <v>0.96907216494845361</v>
      </c>
      <c r="R26" s="13">
        <v>161</v>
      </c>
    </row>
    <row r="27" spans="1:18" ht="15.75" customHeight="1">
      <c r="A27" s="13">
        <v>1</v>
      </c>
      <c r="B27" s="13" t="s">
        <v>2</v>
      </c>
      <c r="C27" s="13" t="s">
        <v>290</v>
      </c>
      <c r="D27" s="13" t="s">
        <v>279</v>
      </c>
      <c r="F27" s="13" t="s">
        <v>280</v>
      </c>
      <c r="H27" s="13">
        <v>2335</v>
      </c>
      <c r="I27" s="13">
        <v>53</v>
      </c>
      <c r="K27" s="13">
        <v>2500</v>
      </c>
      <c r="L27" s="13">
        <v>0.93</v>
      </c>
      <c r="M27" s="13">
        <v>0.98</v>
      </c>
      <c r="N27" s="13">
        <v>0.95434554973821983</v>
      </c>
    </row>
    <row r="28" spans="1:18" ht="15.75" customHeight="1">
      <c r="A28" s="13">
        <v>1</v>
      </c>
      <c r="B28" s="13" t="s">
        <v>2</v>
      </c>
      <c r="C28" s="13" t="s">
        <v>290</v>
      </c>
      <c r="D28" s="13" t="s">
        <v>279</v>
      </c>
      <c r="F28" s="13" t="s">
        <v>281</v>
      </c>
      <c r="H28" s="13">
        <v>2293</v>
      </c>
      <c r="I28" s="13">
        <v>45</v>
      </c>
      <c r="K28" s="13">
        <v>2500</v>
      </c>
      <c r="L28" s="13">
        <v>0.92</v>
      </c>
      <c r="M28" s="13">
        <v>0.98</v>
      </c>
      <c r="N28" s="13">
        <v>0.94905263157894748</v>
      </c>
    </row>
    <row r="29" spans="1:18" ht="15.75" customHeight="1">
      <c r="A29" s="13">
        <v>1</v>
      </c>
      <c r="B29" s="13" t="s">
        <v>2</v>
      </c>
      <c r="C29" s="13" t="s">
        <v>290</v>
      </c>
      <c r="D29" s="13" t="s">
        <v>279</v>
      </c>
      <c r="F29" s="13" t="s">
        <v>283</v>
      </c>
      <c r="H29" s="13">
        <v>2266</v>
      </c>
      <c r="I29" s="13">
        <v>129</v>
      </c>
      <c r="K29" s="13">
        <v>2500</v>
      </c>
      <c r="L29" s="13">
        <v>0.91</v>
      </c>
      <c r="M29" s="13">
        <v>0.95</v>
      </c>
      <c r="N29" s="13">
        <v>0.92956989247311828</v>
      </c>
    </row>
    <row r="30" spans="1:18" ht="15.75" customHeight="1">
      <c r="A30" s="13">
        <v>1</v>
      </c>
      <c r="B30" s="13" t="s">
        <v>2</v>
      </c>
      <c r="C30" s="13" t="s">
        <v>290</v>
      </c>
      <c r="D30" s="13" t="s">
        <v>279</v>
      </c>
      <c r="F30" s="13" t="s">
        <v>99</v>
      </c>
      <c r="H30" s="13">
        <v>2116</v>
      </c>
      <c r="I30" s="13">
        <v>30</v>
      </c>
      <c r="K30" s="13">
        <v>2500</v>
      </c>
      <c r="L30" s="13">
        <v>0.85</v>
      </c>
      <c r="M30" s="13">
        <v>0.99</v>
      </c>
      <c r="N30" s="13">
        <v>0.91467391304347834</v>
      </c>
    </row>
    <row r="31" spans="1:18" ht="15.75" customHeight="1">
      <c r="A31" s="13">
        <v>1</v>
      </c>
      <c r="B31" s="13" t="s">
        <v>2</v>
      </c>
      <c r="C31" s="13" t="s">
        <v>290</v>
      </c>
      <c r="D31" s="13" t="s">
        <v>279</v>
      </c>
      <c r="F31" s="13" t="s">
        <v>82</v>
      </c>
      <c r="H31" s="13">
        <v>2170</v>
      </c>
      <c r="I31" s="13">
        <v>94</v>
      </c>
      <c r="K31" s="13">
        <v>2500</v>
      </c>
      <c r="L31" s="13">
        <v>0.87</v>
      </c>
      <c r="M31" s="13">
        <v>0.96</v>
      </c>
      <c r="N31" s="13">
        <v>0.91278688524590157</v>
      </c>
    </row>
    <row r="32" spans="1:18" ht="15.75" customHeight="1">
      <c r="A32" s="13">
        <v>1</v>
      </c>
      <c r="B32" s="13" t="s">
        <v>2</v>
      </c>
      <c r="C32" s="13" t="s">
        <v>290</v>
      </c>
      <c r="D32" s="13" t="s">
        <v>279</v>
      </c>
      <c r="F32" s="13" t="s">
        <v>282</v>
      </c>
      <c r="H32" s="13">
        <v>2146</v>
      </c>
      <c r="I32" s="13">
        <v>56</v>
      </c>
      <c r="K32" s="13">
        <v>2500</v>
      </c>
      <c r="L32" s="13">
        <v>0.86</v>
      </c>
      <c r="M32" s="13">
        <v>0.97</v>
      </c>
      <c r="N32" s="13">
        <v>0.91169398907103816</v>
      </c>
    </row>
    <row r="33" spans="1:14" ht="15.75" customHeight="1">
      <c r="A33" s="13">
        <v>1</v>
      </c>
      <c r="B33" s="13" t="s">
        <v>2</v>
      </c>
      <c r="C33" s="13" t="s">
        <v>290</v>
      </c>
      <c r="D33" s="13" t="s">
        <v>279</v>
      </c>
      <c r="F33" s="13" t="s">
        <v>193</v>
      </c>
      <c r="H33" s="13">
        <v>2068</v>
      </c>
      <c r="I33" s="13">
        <v>17</v>
      </c>
      <c r="K33" s="13">
        <v>2500</v>
      </c>
      <c r="L33" s="13">
        <v>0.83</v>
      </c>
      <c r="M33" s="13">
        <v>0.99</v>
      </c>
      <c r="N33" s="13">
        <v>0.90296703296703307</v>
      </c>
    </row>
    <row r="34" spans="1:14" ht="15.75" customHeight="1">
      <c r="A34" s="13">
        <v>1</v>
      </c>
      <c r="B34" s="13" t="s">
        <v>2</v>
      </c>
      <c r="C34" s="13" t="s">
        <v>290</v>
      </c>
      <c r="D34" s="13" t="s">
        <v>279</v>
      </c>
      <c r="F34" s="13" t="s">
        <v>285</v>
      </c>
      <c r="H34" s="13">
        <v>2075</v>
      </c>
      <c r="I34" s="13">
        <v>38</v>
      </c>
      <c r="K34" s="13">
        <v>2500</v>
      </c>
      <c r="L34" s="13">
        <v>0.83</v>
      </c>
      <c r="M34" s="13">
        <v>0.98</v>
      </c>
      <c r="N34" s="13">
        <v>0.89878453038674022</v>
      </c>
    </row>
    <row r="35" spans="1:14" ht="15.75" customHeight="1">
      <c r="A35" s="13">
        <v>1</v>
      </c>
      <c r="B35" s="13" t="s">
        <v>2</v>
      </c>
      <c r="C35" s="13" t="s">
        <v>290</v>
      </c>
      <c r="D35" s="13" t="s">
        <v>279</v>
      </c>
      <c r="F35" s="13" t="s">
        <v>284</v>
      </c>
      <c r="H35" s="13">
        <v>2034</v>
      </c>
      <c r="I35" s="13">
        <v>15</v>
      </c>
      <c r="K35" s="13">
        <v>2500</v>
      </c>
      <c r="L35" s="13">
        <v>0.81</v>
      </c>
      <c r="M35" s="13">
        <v>0.99</v>
      </c>
      <c r="N35" s="13">
        <v>0.89100000000000001</v>
      </c>
    </row>
    <row r="36" spans="1:14" ht="15.75" customHeight="1">
      <c r="A36" s="13">
        <v>1</v>
      </c>
      <c r="B36" s="13" t="s">
        <v>2</v>
      </c>
      <c r="C36" s="13" t="s">
        <v>290</v>
      </c>
      <c r="D36" s="13" t="s">
        <v>279</v>
      </c>
      <c r="F36" s="13" t="s">
        <v>22</v>
      </c>
      <c r="H36" s="13">
        <v>2064</v>
      </c>
      <c r="I36" s="13">
        <v>78</v>
      </c>
      <c r="K36" s="13">
        <v>2500</v>
      </c>
      <c r="L36" s="13">
        <v>0.83</v>
      </c>
      <c r="M36" s="13">
        <v>0.96</v>
      </c>
      <c r="N36" s="13">
        <v>0.89027932960893852</v>
      </c>
    </row>
    <row r="37" spans="1:14" ht="15.75" customHeight="1">
      <c r="A37" s="13">
        <v>1</v>
      </c>
      <c r="B37" s="13" t="s">
        <v>2</v>
      </c>
      <c r="C37" s="13" t="s">
        <v>290</v>
      </c>
      <c r="D37" s="13" t="s">
        <v>279</v>
      </c>
      <c r="F37" s="13" t="s">
        <v>286</v>
      </c>
      <c r="H37" s="13">
        <v>2004</v>
      </c>
      <c r="I37" s="13">
        <v>10</v>
      </c>
      <c r="K37" s="13">
        <v>2500</v>
      </c>
      <c r="L37" s="13">
        <v>0.8</v>
      </c>
      <c r="M37" s="13">
        <v>1</v>
      </c>
      <c r="N37" s="13">
        <v>0.88888888888888895</v>
      </c>
    </row>
    <row r="38" spans="1:14" ht="15.75" customHeight="1">
      <c r="A38" s="13">
        <v>1</v>
      </c>
      <c r="B38" s="13" t="s">
        <v>2</v>
      </c>
      <c r="C38" s="13" t="s">
        <v>290</v>
      </c>
      <c r="D38" s="13" t="s">
        <v>279</v>
      </c>
      <c r="F38" s="13" t="s">
        <v>25</v>
      </c>
      <c r="H38" s="13">
        <v>1967</v>
      </c>
      <c r="I38" s="13">
        <v>6</v>
      </c>
      <c r="K38" s="13">
        <v>2500</v>
      </c>
      <c r="L38" s="13">
        <v>0.79</v>
      </c>
      <c r="M38" s="13">
        <v>1</v>
      </c>
      <c r="N38" s="13">
        <v>0.88268156424581012</v>
      </c>
    </row>
    <row r="39" spans="1:14" ht="15.75" customHeight="1">
      <c r="A39" s="13">
        <v>1</v>
      </c>
      <c r="B39" s="13" t="s">
        <v>2</v>
      </c>
      <c r="C39" s="13" t="s">
        <v>290</v>
      </c>
      <c r="D39" s="13" t="s">
        <v>279</v>
      </c>
      <c r="F39" s="13" t="s">
        <v>37</v>
      </c>
      <c r="H39" s="13">
        <v>1963</v>
      </c>
      <c r="I39" s="13">
        <v>12</v>
      </c>
      <c r="K39" s="13">
        <v>2500</v>
      </c>
      <c r="L39" s="13">
        <v>0.79</v>
      </c>
      <c r="M39" s="13">
        <v>0.99</v>
      </c>
      <c r="N39" s="13">
        <v>0.87876404494382021</v>
      </c>
    </row>
    <row r="40" spans="1:14" ht="15.75" customHeight="1">
      <c r="A40" s="13">
        <v>1</v>
      </c>
      <c r="B40" s="13" t="s">
        <v>2</v>
      </c>
      <c r="C40" s="13" t="s">
        <v>290</v>
      </c>
      <c r="D40" s="13" t="s">
        <v>279</v>
      </c>
      <c r="F40" s="13" t="s">
        <v>23</v>
      </c>
      <c r="H40" s="13">
        <v>1953</v>
      </c>
      <c r="I40" s="13">
        <v>5</v>
      </c>
      <c r="K40" s="13">
        <v>2500</v>
      </c>
      <c r="L40" s="13">
        <v>0.78</v>
      </c>
      <c r="M40" s="13">
        <v>1</v>
      </c>
      <c r="N40" s="13">
        <v>0.8764044943820225</v>
      </c>
    </row>
    <row r="41" spans="1:14" ht="15.75" customHeight="1">
      <c r="A41" s="13">
        <v>1</v>
      </c>
      <c r="B41" s="13" t="s">
        <v>2</v>
      </c>
      <c r="C41" s="13" t="s">
        <v>290</v>
      </c>
      <c r="D41" s="13" t="s">
        <v>279</v>
      </c>
      <c r="F41" s="13" t="s">
        <v>40</v>
      </c>
      <c r="H41" s="13">
        <v>1892</v>
      </c>
      <c r="I41" s="13">
        <v>11</v>
      </c>
      <c r="K41" s="13">
        <v>2500</v>
      </c>
      <c r="L41" s="13">
        <v>0.76</v>
      </c>
      <c r="M41" s="13">
        <v>0.99</v>
      </c>
      <c r="N41" s="13">
        <v>0.85988571428571425</v>
      </c>
    </row>
    <row r="42" spans="1:14" ht="15.75" customHeight="1">
      <c r="A42" s="13">
        <v>1</v>
      </c>
      <c r="B42" s="13" t="s">
        <v>2</v>
      </c>
      <c r="C42" s="13" t="s">
        <v>290</v>
      </c>
      <c r="D42" s="13" t="s">
        <v>279</v>
      </c>
      <c r="F42" s="13" t="s">
        <v>21</v>
      </c>
      <c r="H42" s="13">
        <v>2094</v>
      </c>
      <c r="I42" s="13">
        <v>342</v>
      </c>
      <c r="K42" s="13">
        <v>2500</v>
      </c>
      <c r="L42" s="13">
        <v>0.84</v>
      </c>
      <c r="M42" s="13">
        <v>0.86</v>
      </c>
      <c r="N42" s="13">
        <v>0.84988235294117642</v>
      </c>
    </row>
    <row r="43" spans="1:14" ht="15.75" customHeight="1">
      <c r="A43" s="13">
        <v>1</v>
      </c>
      <c r="B43" s="13" t="s">
        <v>2</v>
      </c>
      <c r="C43" s="13" t="s">
        <v>290</v>
      </c>
      <c r="D43" s="13" t="s">
        <v>279</v>
      </c>
      <c r="F43" s="13" t="s">
        <v>107</v>
      </c>
      <c r="H43" s="13">
        <v>1831</v>
      </c>
      <c r="I43" s="13">
        <v>54</v>
      </c>
      <c r="K43" s="13">
        <v>2500</v>
      </c>
      <c r="L43" s="13">
        <v>0.73</v>
      </c>
      <c r="M43" s="13">
        <v>0.97</v>
      </c>
      <c r="N43" s="13">
        <v>0.83305882352941174</v>
      </c>
    </row>
    <row r="44" spans="1:14" ht="15.75" customHeight="1">
      <c r="A44" s="13">
        <v>1</v>
      </c>
      <c r="B44" s="13" t="s">
        <v>2</v>
      </c>
      <c r="C44" s="13" t="s">
        <v>290</v>
      </c>
      <c r="D44" s="13" t="s">
        <v>279</v>
      </c>
      <c r="F44" s="13" t="s">
        <v>287</v>
      </c>
      <c r="H44" s="13">
        <v>1769</v>
      </c>
      <c r="I44" s="13">
        <v>21</v>
      </c>
      <c r="K44" s="13">
        <v>2500</v>
      </c>
      <c r="L44" s="13">
        <v>0.71</v>
      </c>
      <c r="M44" s="13">
        <v>0.99</v>
      </c>
      <c r="N44" s="13">
        <v>0.82694117647058818</v>
      </c>
    </row>
    <row r="45" spans="1:14" ht="15.75" customHeight="1">
      <c r="A45" s="13">
        <v>1</v>
      </c>
      <c r="B45" s="13" t="s">
        <v>2</v>
      </c>
      <c r="C45" s="13" t="s">
        <v>290</v>
      </c>
      <c r="D45" s="13" t="s">
        <v>279</v>
      </c>
      <c r="F45" s="13" t="s">
        <v>16</v>
      </c>
      <c r="H45" s="13">
        <v>1791</v>
      </c>
      <c r="I45" s="13">
        <v>201</v>
      </c>
      <c r="K45" s="13">
        <v>2500</v>
      </c>
      <c r="L45" s="13">
        <v>0.72</v>
      </c>
      <c r="M45" s="13">
        <v>0.9</v>
      </c>
      <c r="N45" s="13">
        <v>0.79999999999999993</v>
      </c>
    </row>
    <row r="46" spans="1:14" ht="15.75" customHeight="1">
      <c r="A46" s="13">
        <v>1</v>
      </c>
      <c r="B46" s="13" t="s">
        <v>2</v>
      </c>
      <c r="C46" s="13" t="s">
        <v>290</v>
      </c>
      <c r="D46" s="13" t="s">
        <v>279</v>
      </c>
      <c r="F46" s="13" t="s">
        <v>289</v>
      </c>
      <c r="H46" s="13">
        <v>1643</v>
      </c>
      <c r="I46" s="13">
        <v>2</v>
      </c>
      <c r="K46" s="13">
        <v>2500</v>
      </c>
      <c r="L46" s="13">
        <v>0.66</v>
      </c>
      <c r="M46" s="13">
        <v>1</v>
      </c>
      <c r="N46" s="13">
        <v>0.79518072289156627</v>
      </c>
    </row>
    <row r="47" spans="1:14" ht="15.75" customHeight="1">
      <c r="A47" s="13">
        <v>1</v>
      </c>
      <c r="B47" s="13" t="s">
        <v>2</v>
      </c>
      <c r="C47" s="13" t="s">
        <v>290</v>
      </c>
      <c r="D47" s="13" t="s">
        <v>279</v>
      </c>
      <c r="F47" s="13" t="s">
        <v>288</v>
      </c>
      <c r="H47" s="13">
        <v>1620</v>
      </c>
      <c r="I47" s="13">
        <v>228</v>
      </c>
      <c r="K47" s="13">
        <v>2500</v>
      </c>
      <c r="L47" s="13">
        <v>0.65</v>
      </c>
      <c r="M47" s="13">
        <v>0.88</v>
      </c>
      <c r="N47" s="13">
        <v>0.74771241830065371</v>
      </c>
    </row>
    <row r="48" spans="1:14" ht="15.75" customHeight="1">
      <c r="A48" s="13">
        <v>1</v>
      </c>
      <c r="B48" s="13" t="s">
        <v>2</v>
      </c>
      <c r="C48" s="13" t="s">
        <v>290</v>
      </c>
      <c r="D48" s="13" t="s">
        <v>279</v>
      </c>
      <c r="F48" s="13" t="s">
        <v>39</v>
      </c>
      <c r="H48" s="13">
        <v>1097</v>
      </c>
      <c r="I48" s="13">
        <v>12</v>
      </c>
      <c r="K48" s="13">
        <v>2500</v>
      </c>
      <c r="L48" s="13">
        <v>0.44</v>
      </c>
      <c r="M48" s="13">
        <v>0.99</v>
      </c>
      <c r="N48" s="13">
        <v>0.60923076923076924</v>
      </c>
    </row>
    <row r="49" spans="1:17" ht="15.75" customHeight="1">
      <c r="A49" s="13">
        <v>1</v>
      </c>
      <c r="B49" s="13" t="s">
        <v>2</v>
      </c>
      <c r="C49" s="13" t="s">
        <v>290</v>
      </c>
      <c r="D49" s="13" t="s">
        <v>279</v>
      </c>
      <c r="F49" s="13" t="s">
        <v>88</v>
      </c>
      <c r="H49" s="13">
        <v>1091</v>
      </c>
      <c r="I49" s="13">
        <v>17</v>
      </c>
      <c r="K49" s="13">
        <v>2500</v>
      </c>
      <c r="L49" s="13">
        <v>0.44</v>
      </c>
      <c r="M49" s="13">
        <v>0.98</v>
      </c>
      <c r="N49" s="13">
        <v>0.60732394366197184</v>
      </c>
    </row>
    <row r="50" spans="1:17" ht="15.75" customHeight="1">
      <c r="A50" s="13">
        <v>2</v>
      </c>
      <c r="B50" s="13" t="s">
        <v>47</v>
      </c>
      <c r="C50" s="13" t="s">
        <v>316</v>
      </c>
      <c r="D50" s="13" t="s">
        <v>279</v>
      </c>
      <c r="F50" s="13" t="s">
        <v>317</v>
      </c>
      <c r="G50" s="13" t="s">
        <v>318</v>
      </c>
      <c r="H50" s="13">
        <v>90</v>
      </c>
      <c r="I50" s="13">
        <v>7</v>
      </c>
      <c r="J50" s="13">
        <v>97</v>
      </c>
      <c r="K50" s="13">
        <v>150</v>
      </c>
      <c r="L50" s="13">
        <v>0.6</v>
      </c>
      <c r="M50" s="13">
        <v>0.92783505154639179</v>
      </c>
      <c r="O50" s="13">
        <v>1</v>
      </c>
      <c r="P50" s="13">
        <v>38</v>
      </c>
      <c r="Q50" s="13">
        <v>1</v>
      </c>
    </row>
    <row r="51" spans="1:17" ht="15.75" customHeight="1">
      <c r="A51" s="13">
        <v>2</v>
      </c>
      <c r="B51" s="13" t="s">
        <v>47</v>
      </c>
      <c r="C51" s="13" t="s">
        <v>316</v>
      </c>
      <c r="D51" s="13" t="s">
        <v>279</v>
      </c>
      <c r="F51" s="13" t="s">
        <v>281</v>
      </c>
      <c r="G51" s="13" t="s">
        <v>319</v>
      </c>
      <c r="H51" s="13">
        <v>52</v>
      </c>
      <c r="I51" s="13">
        <v>13</v>
      </c>
      <c r="J51" s="13">
        <v>65</v>
      </c>
      <c r="K51" s="13">
        <v>150</v>
      </c>
      <c r="L51" s="13">
        <v>0.34666666666666668</v>
      </c>
      <c r="M51" s="13">
        <v>0.8</v>
      </c>
      <c r="O51" s="13">
        <v>2</v>
      </c>
      <c r="P51" s="13">
        <v>38</v>
      </c>
      <c r="Q51" s="13">
        <v>2</v>
      </c>
    </row>
    <row r="52" spans="1:17" ht="15.75" customHeight="1">
      <c r="A52" s="13">
        <v>2</v>
      </c>
      <c r="B52" s="13" t="s">
        <v>47</v>
      </c>
      <c r="C52" s="13" t="s">
        <v>316</v>
      </c>
      <c r="D52" s="13" t="s">
        <v>279</v>
      </c>
      <c r="F52" s="13" t="s">
        <v>320</v>
      </c>
      <c r="G52" s="13" t="s">
        <v>318</v>
      </c>
      <c r="K52" s="13">
        <v>150</v>
      </c>
      <c r="O52" s="13">
        <v>6</v>
      </c>
      <c r="P52" s="13">
        <v>10</v>
      </c>
      <c r="Q52" s="13">
        <v>3</v>
      </c>
    </row>
    <row r="53" spans="1:17" ht="15.75" customHeight="1">
      <c r="A53" s="13">
        <v>2</v>
      </c>
      <c r="B53" s="13" t="s">
        <v>47</v>
      </c>
      <c r="C53" s="13" t="s">
        <v>316</v>
      </c>
      <c r="D53" s="13" t="s">
        <v>279</v>
      </c>
      <c r="F53" s="13" t="s">
        <v>321</v>
      </c>
      <c r="G53" s="13" t="s">
        <v>322</v>
      </c>
      <c r="K53" s="13">
        <v>150</v>
      </c>
      <c r="O53" s="13">
        <v>8</v>
      </c>
      <c r="P53" s="13">
        <v>5</v>
      </c>
      <c r="Q53" s="13">
        <v>4</v>
      </c>
    </row>
    <row r="54" spans="1:17" ht="15.75" customHeight="1">
      <c r="A54" s="13">
        <v>2</v>
      </c>
      <c r="B54" s="13" t="s">
        <v>47</v>
      </c>
      <c r="C54" s="13" t="s">
        <v>316</v>
      </c>
      <c r="D54" s="13" t="s">
        <v>279</v>
      </c>
      <c r="F54" s="13" t="s">
        <v>24</v>
      </c>
      <c r="G54" s="13" t="s">
        <v>323</v>
      </c>
      <c r="H54" s="13">
        <v>20</v>
      </c>
      <c r="I54" s="13">
        <v>17</v>
      </c>
      <c r="J54" s="13">
        <v>37</v>
      </c>
      <c r="K54" s="13">
        <v>150</v>
      </c>
      <c r="L54" s="13">
        <v>0.13333333333333333</v>
      </c>
      <c r="M54" s="13">
        <v>0.54054054054054057</v>
      </c>
      <c r="O54" s="13">
        <v>14</v>
      </c>
      <c r="P54" s="13">
        <v>5</v>
      </c>
      <c r="Q54" s="13">
        <v>5</v>
      </c>
    </row>
    <row r="55" spans="1:17" ht="15.75" customHeight="1">
      <c r="A55" s="13">
        <v>2</v>
      </c>
      <c r="B55" s="13" t="s">
        <v>47</v>
      </c>
      <c r="C55" s="13" t="s">
        <v>316</v>
      </c>
      <c r="D55" s="13" t="s">
        <v>279</v>
      </c>
      <c r="F55" s="13" t="s">
        <v>98</v>
      </c>
      <c r="G55" s="13" t="s">
        <v>324</v>
      </c>
      <c r="H55" s="13">
        <v>56</v>
      </c>
      <c r="I55" s="13">
        <v>12</v>
      </c>
      <c r="J55" s="13">
        <v>68</v>
      </c>
      <c r="K55" s="13">
        <v>150</v>
      </c>
      <c r="L55" s="13">
        <v>0.37333333333333335</v>
      </c>
      <c r="M55" s="13">
        <v>0.82352941176470584</v>
      </c>
      <c r="O55" s="13">
        <v>17</v>
      </c>
      <c r="P55" s="13">
        <v>7</v>
      </c>
      <c r="Q55" s="13">
        <v>6</v>
      </c>
    </row>
    <row r="56" spans="1:17" ht="15.75" customHeight="1">
      <c r="A56" s="13">
        <v>2</v>
      </c>
      <c r="B56" s="13" t="s">
        <v>47</v>
      </c>
      <c r="C56" s="13" t="s">
        <v>316</v>
      </c>
      <c r="D56" s="13" t="s">
        <v>279</v>
      </c>
      <c r="F56" s="13" t="s">
        <v>28</v>
      </c>
      <c r="G56" s="13" t="s">
        <v>306</v>
      </c>
      <c r="K56" s="13">
        <v>150</v>
      </c>
      <c r="O56" s="13">
        <v>27</v>
      </c>
      <c r="P56" s="13">
        <v>7</v>
      </c>
      <c r="Q56" s="13">
        <v>7</v>
      </c>
    </row>
    <row r="57" spans="1:17" ht="15.75" customHeight="1">
      <c r="A57" s="13">
        <v>2</v>
      </c>
      <c r="B57" s="13" t="s">
        <v>47</v>
      </c>
      <c r="C57" s="13" t="s">
        <v>325</v>
      </c>
      <c r="D57" s="13" t="s">
        <v>326</v>
      </c>
      <c r="F57" s="13" t="s">
        <v>317</v>
      </c>
      <c r="G57" s="13" t="s">
        <v>318</v>
      </c>
      <c r="H57" s="13">
        <v>10</v>
      </c>
      <c r="I57" s="13">
        <v>0</v>
      </c>
      <c r="J57" s="13">
        <v>10</v>
      </c>
      <c r="K57" s="13">
        <v>20</v>
      </c>
      <c r="L57" s="13">
        <v>0.5</v>
      </c>
      <c r="M57" s="13">
        <v>1</v>
      </c>
      <c r="O57" s="13">
        <v>0.25</v>
      </c>
      <c r="P57" s="13">
        <v>38</v>
      </c>
      <c r="Q57" s="13">
        <v>1</v>
      </c>
    </row>
    <row r="58" spans="1:17" ht="15.75" customHeight="1">
      <c r="A58" s="13">
        <v>2</v>
      </c>
      <c r="B58" s="13" t="s">
        <v>47</v>
      </c>
      <c r="C58" s="13" t="s">
        <v>325</v>
      </c>
      <c r="D58" s="13" t="s">
        <v>326</v>
      </c>
      <c r="F58" s="13" t="s">
        <v>320</v>
      </c>
      <c r="G58" s="13" t="s">
        <v>318</v>
      </c>
      <c r="H58" s="13">
        <v>8</v>
      </c>
      <c r="I58" s="13">
        <v>32</v>
      </c>
      <c r="J58" s="13">
        <v>40</v>
      </c>
      <c r="K58" s="13">
        <v>20</v>
      </c>
      <c r="L58" s="13">
        <v>0.4</v>
      </c>
      <c r="M58" s="13">
        <v>0.2</v>
      </c>
      <c r="O58" s="13">
        <v>1</v>
      </c>
      <c r="P58" s="13">
        <v>28</v>
      </c>
      <c r="Q58" s="13">
        <v>2</v>
      </c>
    </row>
    <row r="59" spans="1:17" ht="15.75" customHeight="1">
      <c r="A59" s="13">
        <v>2</v>
      </c>
      <c r="B59" s="13" t="s">
        <v>47</v>
      </c>
      <c r="C59" s="13" t="s">
        <v>325</v>
      </c>
      <c r="D59" s="13" t="s">
        <v>326</v>
      </c>
      <c r="F59" s="13" t="s">
        <v>281</v>
      </c>
      <c r="G59" s="13" t="s">
        <v>319</v>
      </c>
      <c r="H59" s="13">
        <v>7</v>
      </c>
      <c r="I59" s="13">
        <v>0</v>
      </c>
      <c r="J59" s="13">
        <v>7</v>
      </c>
      <c r="K59" s="13">
        <v>20</v>
      </c>
      <c r="L59" s="13">
        <v>0.35</v>
      </c>
      <c r="M59" s="13">
        <v>1</v>
      </c>
      <c r="O59" s="13">
        <v>1</v>
      </c>
      <c r="P59" s="13">
        <v>38</v>
      </c>
      <c r="Q59" s="13">
        <v>2</v>
      </c>
    </row>
    <row r="60" spans="1:17" ht="15.75" customHeight="1">
      <c r="A60" s="13">
        <v>2</v>
      </c>
      <c r="B60" s="13" t="s">
        <v>47</v>
      </c>
      <c r="C60" s="13" t="s">
        <v>325</v>
      </c>
      <c r="D60" s="13" t="s">
        <v>326</v>
      </c>
      <c r="F60" s="13" t="s">
        <v>321</v>
      </c>
      <c r="G60" s="13" t="s">
        <v>322</v>
      </c>
      <c r="H60" s="13">
        <v>7</v>
      </c>
      <c r="I60" s="13">
        <v>42</v>
      </c>
      <c r="J60" s="13">
        <v>49</v>
      </c>
      <c r="K60" s="13">
        <v>20</v>
      </c>
      <c r="L60" s="13">
        <v>0.35</v>
      </c>
      <c r="M60" s="13">
        <v>0.14285714285714285</v>
      </c>
      <c r="O60" s="13">
        <v>2.5</v>
      </c>
      <c r="P60" s="13">
        <v>6</v>
      </c>
      <c r="Q60" s="13">
        <v>3</v>
      </c>
    </row>
    <row r="61" spans="1:17" ht="15.75" customHeight="1">
      <c r="A61" s="13">
        <v>2</v>
      </c>
      <c r="B61" s="13" t="s">
        <v>47</v>
      </c>
      <c r="C61" s="13" t="s">
        <v>325</v>
      </c>
      <c r="D61" s="13" t="s">
        <v>326</v>
      </c>
      <c r="F61" s="13" t="s">
        <v>24</v>
      </c>
      <c r="G61" s="13" t="s">
        <v>323</v>
      </c>
      <c r="H61" s="13">
        <v>5</v>
      </c>
      <c r="I61" s="13">
        <v>75</v>
      </c>
      <c r="J61" s="13">
        <v>80</v>
      </c>
      <c r="K61" s="13">
        <v>20</v>
      </c>
      <c r="L61" s="13">
        <v>0.25</v>
      </c>
      <c r="M61" s="13">
        <v>6.25E-2</v>
      </c>
      <c r="O61" s="13">
        <v>4.5</v>
      </c>
      <c r="P61" s="13">
        <v>5</v>
      </c>
      <c r="Q61" s="13">
        <v>4</v>
      </c>
    </row>
    <row r="62" spans="1:17" ht="15.75" customHeight="1">
      <c r="A62" s="13">
        <v>2</v>
      </c>
      <c r="B62" s="13" t="s">
        <v>47</v>
      </c>
      <c r="C62" s="13" t="s">
        <v>325</v>
      </c>
      <c r="D62" s="13" t="s">
        <v>326</v>
      </c>
      <c r="F62" s="13" t="s">
        <v>98</v>
      </c>
      <c r="G62" s="13" t="s">
        <v>324</v>
      </c>
      <c r="H62" s="13">
        <v>8</v>
      </c>
      <c r="I62" s="13">
        <v>25</v>
      </c>
      <c r="J62" s="13">
        <v>33</v>
      </c>
      <c r="K62" s="13">
        <v>20</v>
      </c>
      <c r="L62" s="13">
        <v>0.4</v>
      </c>
      <c r="M62" s="13">
        <v>0.24242424242424243</v>
      </c>
      <c r="O62" s="13">
        <v>5</v>
      </c>
      <c r="P62" s="13">
        <v>6</v>
      </c>
      <c r="Q62" s="13">
        <v>5</v>
      </c>
    </row>
    <row r="63" spans="1:17" ht="15.75" customHeight="1">
      <c r="A63" s="13">
        <v>2</v>
      </c>
      <c r="B63" s="13" t="s">
        <v>47</v>
      </c>
      <c r="C63" s="13" t="s">
        <v>325</v>
      </c>
      <c r="D63" s="13" t="s">
        <v>326</v>
      </c>
      <c r="F63" s="13" t="s">
        <v>28</v>
      </c>
      <c r="G63" s="13" t="s">
        <v>306</v>
      </c>
      <c r="K63" s="13">
        <v>20</v>
      </c>
      <c r="O63" s="13">
        <v>9</v>
      </c>
      <c r="P63" s="13">
        <v>15</v>
      </c>
      <c r="Q63" s="13">
        <v>6</v>
      </c>
    </row>
    <row r="64" spans="1:17" ht="15.75" customHeight="1">
      <c r="A64" s="13">
        <v>3</v>
      </c>
      <c r="B64" s="13" t="s">
        <v>64</v>
      </c>
      <c r="C64" s="13" t="s">
        <v>342</v>
      </c>
      <c r="D64" s="13" t="s">
        <v>279</v>
      </c>
      <c r="F64" s="13" t="s">
        <v>79</v>
      </c>
      <c r="G64" s="13" t="s">
        <v>337</v>
      </c>
      <c r="H64" s="13">
        <v>4</v>
      </c>
      <c r="K64" s="13">
        <v>50</v>
      </c>
      <c r="L64" s="13">
        <v>0.08</v>
      </c>
      <c r="O64" s="13">
        <v>0.05</v>
      </c>
      <c r="P64" s="13">
        <v>2.75</v>
      </c>
      <c r="Q64" s="13">
        <v>1</v>
      </c>
    </row>
    <row r="65" spans="1:17" ht="15.75" customHeight="1">
      <c r="A65" s="13">
        <v>3</v>
      </c>
      <c r="B65" s="13" t="s">
        <v>64</v>
      </c>
      <c r="C65" s="13" t="s">
        <v>342</v>
      </c>
      <c r="D65" s="13" t="s">
        <v>279</v>
      </c>
      <c r="F65" s="13" t="s">
        <v>16</v>
      </c>
      <c r="G65" s="13" t="s">
        <v>335</v>
      </c>
      <c r="H65" s="13">
        <v>39</v>
      </c>
      <c r="K65" s="13">
        <v>50</v>
      </c>
      <c r="L65" s="13">
        <v>0.78</v>
      </c>
      <c r="O65" s="13">
        <v>0.05</v>
      </c>
      <c r="P65" s="13">
        <v>0.23</v>
      </c>
      <c r="Q65" s="13">
        <v>1</v>
      </c>
    </row>
    <row r="66" spans="1:17" ht="15.75" customHeight="1">
      <c r="A66" s="13">
        <v>3</v>
      </c>
      <c r="B66" s="13" t="s">
        <v>64</v>
      </c>
      <c r="C66" s="13" t="s">
        <v>342</v>
      </c>
      <c r="D66" s="13" t="s">
        <v>279</v>
      </c>
      <c r="F66" s="13" t="s">
        <v>25</v>
      </c>
      <c r="G66" s="13" t="s">
        <v>340</v>
      </c>
      <c r="H66" s="13">
        <v>43</v>
      </c>
      <c r="K66" s="13">
        <v>50</v>
      </c>
      <c r="L66" s="13">
        <v>0.86</v>
      </c>
      <c r="O66" s="13">
        <v>0.05</v>
      </c>
      <c r="P66" s="13">
        <v>5.35</v>
      </c>
      <c r="Q66" s="13">
        <v>1</v>
      </c>
    </row>
    <row r="67" spans="1:17" ht="15.75" customHeight="1">
      <c r="A67" s="13">
        <v>3</v>
      </c>
      <c r="B67" s="13" t="s">
        <v>64</v>
      </c>
      <c r="C67" s="13" t="s">
        <v>342</v>
      </c>
      <c r="D67" s="13" t="s">
        <v>279</v>
      </c>
      <c r="F67" s="13" t="s">
        <v>72</v>
      </c>
      <c r="G67" s="13" t="s">
        <v>341</v>
      </c>
      <c r="H67" s="13">
        <v>33</v>
      </c>
      <c r="J67" s="13">
        <v>42</v>
      </c>
      <c r="K67" s="13">
        <v>50</v>
      </c>
      <c r="L67" s="13">
        <v>0.66</v>
      </c>
      <c r="M67" s="13">
        <v>0.7857142857142857</v>
      </c>
      <c r="O67" s="13">
        <v>0.1</v>
      </c>
      <c r="P67" s="13">
        <v>9.25</v>
      </c>
      <c r="Q67" s="13">
        <v>2</v>
      </c>
    </row>
    <row r="68" spans="1:17" ht="15.75" customHeight="1">
      <c r="A68" s="13">
        <v>3</v>
      </c>
      <c r="B68" s="13" t="s">
        <v>64</v>
      </c>
      <c r="C68" s="13" t="s">
        <v>342</v>
      </c>
      <c r="D68" s="13" t="s">
        <v>279</v>
      </c>
      <c r="F68" s="13" t="s">
        <v>92</v>
      </c>
      <c r="G68" s="13">
        <v>1.06</v>
      </c>
      <c r="H68" s="13">
        <v>44</v>
      </c>
      <c r="K68" s="13">
        <v>50</v>
      </c>
      <c r="L68" s="13">
        <v>0.88</v>
      </c>
      <c r="O68" s="13">
        <v>0.11666666666666667</v>
      </c>
      <c r="P68" s="13">
        <v>4.3</v>
      </c>
      <c r="Q68" s="13">
        <v>3</v>
      </c>
    </row>
    <row r="69" spans="1:17" ht="15.75" customHeight="1">
      <c r="A69" s="13">
        <v>3</v>
      </c>
      <c r="B69" s="13" t="s">
        <v>64</v>
      </c>
      <c r="C69" s="13" t="s">
        <v>342</v>
      </c>
      <c r="D69" s="13" t="s">
        <v>279</v>
      </c>
      <c r="F69" s="13" t="s">
        <v>88</v>
      </c>
      <c r="G69" s="13" t="s">
        <v>305</v>
      </c>
      <c r="H69" s="13">
        <v>18</v>
      </c>
      <c r="K69" s="13">
        <v>50</v>
      </c>
      <c r="L69" s="13">
        <v>0.36</v>
      </c>
      <c r="O69" s="13">
        <v>0.15</v>
      </c>
      <c r="P69" s="13">
        <v>2.31</v>
      </c>
      <c r="Q69" s="13">
        <v>4</v>
      </c>
    </row>
    <row r="70" spans="1:17" ht="15.75" customHeight="1">
      <c r="A70" s="13">
        <v>3</v>
      </c>
      <c r="B70" s="13" t="s">
        <v>64</v>
      </c>
      <c r="C70" s="13" t="s">
        <v>342</v>
      </c>
      <c r="D70" s="13" t="s">
        <v>279</v>
      </c>
      <c r="F70" s="13" t="s">
        <v>13</v>
      </c>
      <c r="G70" s="13" t="s">
        <v>336</v>
      </c>
      <c r="H70" s="13">
        <v>33</v>
      </c>
      <c r="K70" s="13">
        <v>50</v>
      </c>
      <c r="L70" s="13">
        <v>0.66</v>
      </c>
      <c r="O70" s="13">
        <v>0.18333333333333332</v>
      </c>
      <c r="P70" s="13">
        <v>11.67</v>
      </c>
      <c r="Q70" s="13">
        <v>5</v>
      </c>
    </row>
    <row r="71" spans="1:17" ht="15.75" customHeight="1">
      <c r="A71" s="13">
        <v>3</v>
      </c>
      <c r="B71" s="13" t="s">
        <v>64</v>
      </c>
      <c r="C71" s="13" t="s">
        <v>342</v>
      </c>
      <c r="D71" s="13" t="s">
        <v>279</v>
      </c>
      <c r="F71" s="13" t="s">
        <v>99</v>
      </c>
      <c r="G71" s="13" t="s">
        <v>339</v>
      </c>
      <c r="H71" s="13">
        <v>26</v>
      </c>
      <c r="K71" s="13">
        <v>50</v>
      </c>
      <c r="L71" s="13">
        <v>0.52</v>
      </c>
      <c r="O71" s="13">
        <v>0.25</v>
      </c>
      <c r="P71" s="13">
        <v>2.3199999999999998</v>
      </c>
      <c r="Q71" s="13">
        <v>6</v>
      </c>
    </row>
    <row r="72" spans="1:17" ht="15.75" customHeight="1">
      <c r="A72" s="13">
        <v>3</v>
      </c>
      <c r="B72" s="13" t="s">
        <v>64</v>
      </c>
      <c r="C72" s="13" t="s">
        <v>342</v>
      </c>
      <c r="D72" s="13" t="s">
        <v>279</v>
      </c>
      <c r="F72" s="13" t="s">
        <v>91</v>
      </c>
      <c r="G72" s="13" t="s">
        <v>334</v>
      </c>
      <c r="H72" s="13">
        <v>28</v>
      </c>
      <c r="K72" s="13">
        <v>50</v>
      </c>
      <c r="L72" s="13">
        <v>0.56000000000000005</v>
      </c>
      <c r="O72" s="13">
        <v>0.31666666666666665</v>
      </c>
      <c r="P72" s="13">
        <v>11.84</v>
      </c>
      <c r="Q72" s="13">
        <v>7</v>
      </c>
    </row>
    <row r="73" spans="1:17" ht="15.75" customHeight="1">
      <c r="A73" s="13">
        <v>3</v>
      </c>
      <c r="B73" s="13" t="s">
        <v>64</v>
      </c>
      <c r="C73" s="13" t="s">
        <v>342</v>
      </c>
      <c r="D73" s="13" t="s">
        <v>279</v>
      </c>
      <c r="F73" s="13" t="s">
        <v>82</v>
      </c>
      <c r="G73" s="13" t="s">
        <v>338</v>
      </c>
      <c r="H73" s="13">
        <v>15</v>
      </c>
      <c r="K73" s="13">
        <v>50</v>
      </c>
      <c r="L73" s="13">
        <v>0.3</v>
      </c>
      <c r="O73" s="13">
        <v>0.76666666666666672</v>
      </c>
      <c r="P73" s="13">
        <v>12.59</v>
      </c>
      <c r="Q73" s="13">
        <v>8</v>
      </c>
    </row>
    <row r="74" spans="1:17" ht="15.75" customHeight="1">
      <c r="A74" s="13">
        <v>3</v>
      </c>
      <c r="B74" s="13" t="s">
        <v>64</v>
      </c>
      <c r="C74" s="13" t="s">
        <v>342</v>
      </c>
      <c r="D74" s="13" t="s">
        <v>279</v>
      </c>
      <c r="F74" s="13" t="s">
        <v>98</v>
      </c>
      <c r="G74" s="13" t="s">
        <v>310</v>
      </c>
      <c r="H74" s="13">
        <v>41</v>
      </c>
      <c r="K74" s="13">
        <v>50</v>
      </c>
      <c r="L74" s="13">
        <v>0.82</v>
      </c>
      <c r="O74" s="13">
        <v>0.8666666666666667</v>
      </c>
      <c r="P74" s="13">
        <v>7.61</v>
      </c>
      <c r="Q74" s="13">
        <v>9</v>
      </c>
    </row>
    <row r="75" spans="1:17" ht="15.75" customHeight="1">
      <c r="A75" s="13">
        <v>3</v>
      </c>
      <c r="B75" s="13" t="s">
        <v>64</v>
      </c>
      <c r="C75" s="13" t="s">
        <v>342</v>
      </c>
      <c r="D75" s="13" t="s">
        <v>279</v>
      </c>
      <c r="F75" s="13" t="s">
        <v>76</v>
      </c>
      <c r="H75" s="13">
        <v>2</v>
      </c>
      <c r="K75" s="13">
        <v>50</v>
      </c>
      <c r="L75" s="13">
        <v>0.04</v>
      </c>
    </row>
    <row r="76" spans="1:17" ht="15.75" customHeight="1">
      <c r="A76" s="13">
        <v>5</v>
      </c>
      <c r="B76" s="13" t="s">
        <v>111</v>
      </c>
      <c r="C76" s="13" t="s">
        <v>350</v>
      </c>
      <c r="D76" s="13" t="s">
        <v>279</v>
      </c>
      <c r="F76" s="13" t="s">
        <v>348</v>
      </c>
      <c r="H76" s="13">
        <v>37</v>
      </c>
      <c r="I76" s="13">
        <v>7</v>
      </c>
      <c r="J76" s="13">
        <v>44</v>
      </c>
      <c r="K76" s="13">
        <v>42</v>
      </c>
      <c r="L76" s="13">
        <v>0.88095238095238093</v>
      </c>
      <c r="M76" s="13">
        <v>0.84090909090909094</v>
      </c>
      <c r="N76" s="13">
        <v>0.86046511627906985</v>
      </c>
    </row>
    <row r="77" spans="1:17" ht="15.75" customHeight="1">
      <c r="A77" s="13">
        <v>5</v>
      </c>
      <c r="B77" s="13" t="s">
        <v>111</v>
      </c>
      <c r="C77" s="13" t="s">
        <v>350</v>
      </c>
      <c r="D77" s="13" t="s">
        <v>279</v>
      </c>
      <c r="F77" s="13" t="s">
        <v>120</v>
      </c>
      <c r="H77" s="13">
        <v>35</v>
      </c>
      <c r="I77" s="13">
        <v>50</v>
      </c>
      <c r="J77" s="13">
        <v>85</v>
      </c>
      <c r="K77" s="13">
        <v>42</v>
      </c>
      <c r="L77" s="13">
        <v>0.83333333333333337</v>
      </c>
      <c r="M77" s="13">
        <v>0.41176470588235292</v>
      </c>
      <c r="N77" s="13">
        <v>0.55118110236220474</v>
      </c>
    </row>
    <row r="78" spans="1:17" ht="15.75" customHeight="1">
      <c r="A78" s="13">
        <v>5</v>
      </c>
      <c r="B78" s="13" t="s">
        <v>111</v>
      </c>
      <c r="C78" s="13" t="s">
        <v>350</v>
      </c>
      <c r="D78" s="13" t="s">
        <v>279</v>
      </c>
      <c r="F78" s="13" t="s">
        <v>124</v>
      </c>
      <c r="H78" s="13">
        <v>22</v>
      </c>
      <c r="I78" s="13">
        <v>160</v>
      </c>
      <c r="J78" s="13">
        <v>182</v>
      </c>
      <c r="K78" s="13">
        <v>42</v>
      </c>
      <c r="L78" s="13">
        <v>0.52380952380952384</v>
      </c>
      <c r="M78" s="13">
        <v>0.12087912087912088</v>
      </c>
      <c r="N78" s="13">
        <v>0.19642857142857142</v>
      </c>
    </row>
    <row r="79" spans="1:17" ht="15.75" customHeight="1">
      <c r="A79" s="13">
        <v>5</v>
      </c>
      <c r="B79" s="13" t="s">
        <v>111</v>
      </c>
      <c r="C79" s="13" t="s">
        <v>350</v>
      </c>
      <c r="D79" s="13" t="s">
        <v>279</v>
      </c>
      <c r="F79" s="13" t="s">
        <v>128</v>
      </c>
      <c r="H79" s="13">
        <v>22</v>
      </c>
      <c r="I79" s="13">
        <v>77</v>
      </c>
      <c r="J79" s="13">
        <v>99</v>
      </c>
      <c r="K79" s="13">
        <v>42</v>
      </c>
      <c r="L79" s="13">
        <v>0.52380952380952384</v>
      </c>
      <c r="M79" s="13">
        <v>0.22222222222222221</v>
      </c>
      <c r="N79" s="13">
        <v>0.31205673758865243</v>
      </c>
    </row>
    <row r="80" spans="1:17" ht="15.75" customHeight="1">
      <c r="A80" s="13">
        <v>5</v>
      </c>
      <c r="B80" s="13" t="s">
        <v>111</v>
      </c>
      <c r="C80" s="13" t="s">
        <v>350</v>
      </c>
      <c r="D80" s="13" t="s">
        <v>279</v>
      </c>
      <c r="F80" s="13" t="s">
        <v>132</v>
      </c>
      <c r="H80" s="13">
        <v>9</v>
      </c>
      <c r="I80" s="13">
        <v>13</v>
      </c>
      <c r="J80" s="13">
        <v>22</v>
      </c>
      <c r="K80" s="13">
        <v>42</v>
      </c>
      <c r="L80" s="13">
        <v>0.21428571428571427</v>
      </c>
      <c r="M80" s="13">
        <v>0.40909090909090912</v>
      </c>
      <c r="N80" s="13">
        <v>0.28125</v>
      </c>
    </row>
    <row r="81" spans="1:14" ht="15.75" customHeight="1">
      <c r="A81" s="13">
        <v>7</v>
      </c>
      <c r="B81" s="13" t="s">
        <v>175</v>
      </c>
      <c r="C81" s="13" t="s">
        <v>357</v>
      </c>
      <c r="D81" s="13" t="s">
        <v>279</v>
      </c>
      <c r="F81" s="13" t="s">
        <v>14</v>
      </c>
      <c r="H81" s="13">
        <v>67.039999999999992</v>
      </c>
      <c r="I81" s="13">
        <v>39.372698412698412</v>
      </c>
      <c r="J81" s="13">
        <v>106.4126984126984</v>
      </c>
      <c r="K81" s="13">
        <v>80</v>
      </c>
      <c r="L81" s="13">
        <v>0.83799999999999997</v>
      </c>
      <c r="M81" s="13">
        <v>0.63</v>
      </c>
      <c r="N81" s="13">
        <v>0.71926430517711171</v>
      </c>
    </row>
    <row r="82" spans="1:14" ht="15.75" customHeight="1">
      <c r="A82" s="13">
        <v>7</v>
      </c>
      <c r="B82" s="13" t="s">
        <v>175</v>
      </c>
      <c r="C82" s="13" t="s">
        <v>357</v>
      </c>
      <c r="D82" s="13" t="s">
        <v>279</v>
      </c>
      <c r="F82" s="13" t="s">
        <v>150</v>
      </c>
      <c r="K82" s="13">
        <v>80</v>
      </c>
    </row>
    <row r="83" spans="1:14" ht="15.75" customHeight="1">
      <c r="A83" s="13">
        <v>7</v>
      </c>
      <c r="B83" s="13" t="s">
        <v>175</v>
      </c>
      <c r="C83" s="13" t="s">
        <v>357</v>
      </c>
      <c r="D83" s="13" t="s">
        <v>279</v>
      </c>
      <c r="F83" s="13" t="s">
        <v>193</v>
      </c>
      <c r="H83" s="13">
        <v>55.279999999999994</v>
      </c>
      <c r="I83" s="13">
        <v>6.1422222222222231</v>
      </c>
      <c r="J83" s="13">
        <v>61.422222222222217</v>
      </c>
      <c r="K83" s="13">
        <v>80</v>
      </c>
      <c r="L83" s="13">
        <v>0.69099999999999995</v>
      </c>
      <c r="M83" s="13">
        <v>0.9</v>
      </c>
      <c r="N83" s="13">
        <v>0.78177247014456319</v>
      </c>
    </row>
    <row r="84" spans="1:14" ht="15.75" customHeight="1">
      <c r="A84" s="13">
        <v>7</v>
      </c>
      <c r="B84" s="13" t="s">
        <v>175</v>
      </c>
      <c r="C84" s="13" t="s">
        <v>357</v>
      </c>
      <c r="D84" s="13" t="s">
        <v>279</v>
      </c>
      <c r="F84" s="13" t="s">
        <v>197</v>
      </c>
      <c r="H84" s="13">
        <v>43.52</v>
      </c>
      <c r="I84" s="13">
        <v>5.9345454545454572</v>
      </c>
      <c r="J84" s="13">
        <v>49.45454545454546</v>
      </c>
      <c r="K84" s="13">
        <v>80</v>
      </c>
      <c r="L84" s="13">
        <v>0.54400000000000004</v>
      </c>
      <c r="M84" s="13">
        <v>0.88</v>
      </c>
      <c r="N84" s="13">
        <v>0.67235955056179786</v>
      </c>
    </row>
    <row r="85" spans="1:14" ht="15.75" customHeight="1">
      <c r="A85" s="13">
        <v>7</v>
      </c>
      <c r="B85" s="13" t="s">
        <v>175</v>
      </c>
      <c r="C85" s="13" t="s">
        <v>357</v>
      </c>
      <c r="D85" s="13" t="s">
        <v>279</v>
      </c>
      <c r="F85" s="13" t="s">
        <v>10</v>
      </c>
      <c r="H85" s="13">
        <v>63.52</v>
      </c>
      <c r="I85" s="13">
        <v>10.34046511627907</v>
      </c>
      <c r="J85" s="13">
        <v>73.860465116279073</v>
      </c>
      <c r="K85" s="13">
        <v>80</v>
      </c>
      <c r="L85" s="13">
        <v>0.79400000000000004</v>
      </c>
      <c r="M85" s="13">
        <v>0.86</v>
      </c>
      <c r="N85" s="13">
        <v>0.82568319226118503</v>
      </c>
    </row>
    <row r="86" spans="1:14" ht="15.75" customHeight="1">
      <c r="A86" s="13">
        <v>7</v>
      </c>
      <c r="B86" s="13" t="s">
        <v>175</v>
      </c>
      <c r="C86" s="13" t="s">
        <v>357</v>
      </c>
      <c r="D86" s="13" t="s">
        <v>279</v>
      </c>
      <c r="F86" s="13" t="s">
        <v>30</v>
      </c>
      <c r="H86" s="13">
        <v>21.200000000000003</v>
      </c>
      <c r="I86" s="13">
        <v>60.338461538461544</v>
      </c>
      <c r="J86" s="13">
        <v>81.538461538461547</v>
      </c>
      <c r="K86" s="13">
        <v>80</v>
      </c>
      <c r="L86" s="13">
        <v>0.26500000000000001</v>
      </c>
      <c r="M86" s="13">
        <v>0.26</v>
      </c>
      <c r="N86" s="13">
        <v>0.26247619047619047</v>
      </c>
    </row>
    <row r="87" spans="1:14" ht="15.75" customHeight="1">
      <c r="A87" s="13">
        <v>7</v>
      </c>
      <c r="B87" s="13" t="s">
        <v>175</v>
      </c>
      <c r="C87" s="13" t="s">
        <v>357</v>
      </c>
      <c r="D87" s="13" t="s">
        <v>279</v>
      </c>
      <c r="F87" s="13" t="s">
        <v>16</v>
      </c>
      <c r="H87" s="13">
        <v>49.44</v>
      </c>
      <c r="I87" s="13">
        <v>8.0483720930232536</v>
      </c>
      <c r="J87" s="13">
        <v>57.488372093023251</v>
      </c>
      <c r="K87" s="13">
        <v>80</v>
      </c>
      <c r="L87" s="13">
        <v>0.61799999999999999</v>
      </c>
      <c r="M87" s="13">
        <v>0.86</v>
      </c>
      <c r="N87" s="13">
        <v>0.71918809201623812</v>
      </c>
    </row>
    <row r="88" spans="1:14" ht="15.75" customHeight="1">
      <c r="A88" s="13">
        <v>7</v>
      </c>
      <c r="B88" s="13" t="s">
        <v>175</v>
      </c>
      <c r="C88" s="13" t="s">
        <v>357</v>
      </c>
      <c r="D88" s="13" t="s">
        <v>279</v>
      </c>
      <c r="F88" s="13" t="s">
        <v>13</v>
      </c>
      <c r="H88" s="13">
        <v>51.760000000000005</v>
      </c>
      <c r="I88" s="13">
        <v>16.345263157894735</v>
      </c>
      <c r="J88" s="13">
        <v>68.10526315789474</v>
      </c>
      <c r="K88" s="13">
        <v>80</v>
      </c>
      <c r="L88" s="13">
        <v>0.64700000000000002</v>
      </c>
      <c r="M88" s="13">
        <v>0.76</v>
      </c>
      <c r="N88" s="13">
        <v>0.69896233120113727</v>
      </c>
    </row>
    <row r="89" spans="1:14" ht="15.75" customHeight="1">
      <c r="A89" s="13">
        <v>7</v>
      </c>
      <c r="B89" s="13" t="s">
        <v>175</v>
      </c>
      <c r="C89" s="13" t="s">
        <v>357</v>
      </c>
      <c r="D89" s="13" t="s">
        <v>279</v>
      </c>
      <c r="F89" s="13" t="s">
        <v>25</v>
      </c>
      <c r="H89" s="13">
        <v>30.560000000000006</v>
      </c>
      <c r="I89" s="13">
        <v>3.395555555555557</v>
      </c>
      <c r="J89" s="13">
        <v>33.955555555555563</v>
      </c>
      <c r="K89" s="13">
        <v>80</v>
      </c>
      <c r="L89" s="13">
        <v>0.38200000000000006</v>
      </c>
      <c r="M89" s="13">
        <v>0.9</v>
      </c>
      <c r="N89" s="13">
        <v>0.53634945397815914</v>
      </c>
    </row>
    <row r="90" spans="1:14" ht="15.75" customHeight="1">
      <c r="A90" s="13">
        <v>7</v>
      </c>
      <c r="B90" s="13" t="s">
        <v>175</v>
      </c>
      <c r="C90" s="13" t="s">
        <v>357</v>
      </c>
      <c r="D90" s="13" t="s">
        <v>279</v>
      </c>
      <c r="F90" s="13" t="s">
        <v>21</v>
      </c>
      <c r="H90" s="13">
        <v>70.56</v>
      </c>
      <c r="I90" s="13">
        <v>11.486511627906978</v>
      </c>
      <c r="J90" s="13">
        <v>82.04651162790698</v>
      </c>
      <c r="K90" s="13">
        <v>80</v>
      </c>
      <c r="L90" s="13">
        <v>0.88200000000000001</v>
      </c>
      <c r="M90" s="13">
        <v>0.86</v>
      </c>
      <c r="N90" s="13">
        <v>0.87086107921928813</v>
      </c>
    </row>
    <row r="91" spans="1:14" ht="15.75" customHeight="1">
      <c r="A91" s="13">
        <v>7</v>
      </c>
      <c r="B91" s="13" t="s">
        <v>175</v>
      </c>
      <c r="C91" s="13" t="s">
        <v>357</v>
      </c>
      <c r="D91" s="13" t="s">
        <v>279</v>
      </c>
      <c r="F91" s="13" t="s">
        <v>92</v>
      </c>
      <c r="H91" s="13">
        <v>44.720000000000006</v>
      </c>
      <c r="I91" s="13">
        <v>8.5180952380952419</v>
      </c>
      <c r="J91" s="13">
        <v>53.238095238095248</v>
      </c>
      <c r="K91" s="13">
        <v>80</v>
      </c>
      <c r="L91" s="13">
        <v>0.55900000000000005</v>
      </c>
      <c r="M91" s="13">
        <v>0.84</v>
      </c>
      <c r="N91" s="13">
        <v>0.67127948534667625</v>
      </c>
    </row>
    <row r="92" spans="1:14" ht="15.75" customHeight="1">
      <c r="A92" s="13">
        <v>7</v>
      </c>
      <c r="B92" s="13" t="s">
        <v>175</v>
      </c>
      <c r="C92" s="13" t="s">
        <v>357</v>
      </c>
      <c r="D92" s="13" t="s">
        <v>279</v>
      </c>
      <c r="F92" s="13" t="s">
        <v>23</v>
      </c>
      <c r="H92" s="13">
        <v>28.24</v>
      </c>
      <c r="I92" s="13">
        <v>4.5972093023255844</v>
      </c>
      <c r="J92" s="13">
        <v>32.837209302325583</v>
      </c>
      <c r="K92" s="13">
        <v>80</v>
      </c>
      <c r="L92" s="13">
        <v>0.35299999999999998</v>
      </c>
      <c r="M92" s="13">
        <v>0.86</v>
      </c>
      <c r="N92" s="13">
        <v>0.50054410552349538</v>
      </c>
    </row>
    <row r="93" spans="1:14" ht="15.75" customHeight="1">
      <c r="A93" s="13">
        <v>7</v>
      </c>
      <c r="B93" s="13" t="s">
        <v>175</v>
      </c>
      <c r="C93" s="13" t="s">
        <v>357</v>
      </c>
      <c r="D93" s="13" t="s">
        <v>279</v>
      </c>
      <c r="F93" s="13" t="s">
        <v>164</v>
      </c>
      <c r="H93" s="13">
        <v>58.8</v>
      </c>
      <c r="I93" s="13">
        <v>10.376470588235293</v>
      </c>
      <c r="J93" s="13">
        <v>69.17647058823529</v>
      </c>
      <c r="K93" s="13">
        <v>80</v>
      </c>
      <c r="L93" s="13">
        <v>0.73499999999999999</v>
      </c>
      <c r="M93" s="13">
        <v>0.85</v>
      </c>
      <c r="N93" s="13">
        <v>0.78832807570977925</v>
      </c>
    </row>
    <row r="94" spans="1:14" ht="15.75" customHeight="1">
      <c r="A94" s="13">
        <v>7</v>
      </c>
      <c r="B94" s="13" t="s">
        <v>175</v>
      </c>
      <c r="C94" s="13" t="s">
        <v>357</v>
      </c>
      <c r="D94" s="13" t="s">
        <v>279</v>
      </c>
      <c r="F94" s="13" t="s">
        <v>99</v>
      </c>
      <c r="H94" s="13">
        <v>31.76</v>
      </c>
      <c r="I94" s="13">
        <v>18.652698412698417</v>
      </c>
      <c r="J94" s="13">
        <v>50.412698412698418</v>
      </c>
      <c r="K94" s="13">
        <v>80</v>
      </c>
      <c r="L94" s="13">
        <v>0.39700000000000002</v>
      </c>
      <c r="M94" s="13">
        <v>0.63</v>
      </c>
      <c r="N94" s="13">
        <v>0.48706913339824726</v>
      </c>
    </row>
    <row r="95" spans="1:14" ht="15.75" customHeight="1">
      <c r="A95" s="13">
        <v>7</v>
      </c>
      <c r="B95" s="13" t="s">
        <v>175</v>
      </c>
      <c r="C95" s="13" t="s">
        <v>357</v>
      </c>
      <c r="D95" s="13" t="s">
        <v>279</v>
      </c>
      <c r="F95" s="13" t="s">
        <v>224</v>
      </c>
      <c r="H95" s="13">
        <v>61.2</v>
      </c>
      <c r="I95" s="13">
        <v>10.799999999999997</v>
      </c>
      <c r="J95" s="13">
        <v>72</v>
      </c>
      <c r="K95" s="13">
        <v>80</v>
      </c>
      <c r="L95" s="13">
        <v>0.76500000000000001</v>
      </c>
      <c r="M95" s="13">
        <v>0.85</v>
      </c>
      <c r="N95" s="13">
        <v>0.80526315789473679</v>
      </c>
    </row>
    <row r="96" spans="1:14" ht="15.75" customHeight="1">
      <c r="A96" s="13">
        <v>7</v>
      </c>
      <c r="B96" s="13" t="s">
        <v>175</v>
      </c>
      <c r="C96" s="13" t="s">
        <v>357</v>
      </c>
      <c r="D96" s="13" t="s">
        <v>279</v>
      </c>
      <c r="F96" s="13" t="s">
        <v>226</v>
      </c>
      <c r="H96" s="13">
        <v>22.319999999999997</v>
      </c>
      <c r="I96" s="13">
        <v>32.119024390243908</v>
      </c>
      <c r="J96" s="13">
        <v>54.439024390243901</v>
      </c>
      <c r="K96" s="13">
        <v>80</v>
      </c>
      <c r="L96" s="13">
        <v>0.27899999999999997</v>
      </c>
      <c r="M96" s="13">
        <v>0.41</v>
      </c>
      <c r="N96" s="13">
        <v>0.33204644412191581</v>
      </c>
    </row>
    <row r="97" spans="1:17" ht="15.75" customHeight="1">
      <c r="A97" s="13">
        <v>7</v>
      </c>
      <c r="B97" s="13" t="s">
        <v>175</v>
      </c>
      <c r="C97" s="13" t="s">
        <v>358</v>
      </c>
      <c r="D97" s="13" t="s">
        <v>279</v>
      </c>
      <c r="F97" s="13" t="s">
        <v>197</v>
      </c>
      <c r="H97" s="13">
        <v>196</v>
      </c>
      <c r="I97" s="13">
        <v>72.493150684931493</v>
      </c>
      <c r="J97" s="13">
        <v>268.49315068493149</v>
      </c>
      <c r="K97" s="13">
        <v>250</v>
      </c>
      <c r="L97" s="13">
        <v>0.78400000000000003</v>
      </c>
      <c r="M97" s="13">
        <v>0.73</v>
      </c>
      <c r="N97" s="13">
        <v>0.75603698811096443</v>
      </c>
      <c r="O97" s="13">
        <v>8.3333333333333329E-2</v>
      </c>
      <c r="P97" s="13">
        <v>5</v>
      </c>
      <c r="Q97" s="13">
        <v>1</v>
      </c>
    </row>
    <row r="98" spans="1:17" ht="15.75" customHeight="1">
      <c r="A98" s="13">
        <v>7</v>
      </c>
      <c r="B98" s="13" t="s">
        <v>175</v>
      </c>
      <c r="C98" s="13" t="s">
        <v>358</v>
      </c>
      <c r="D98" s="13" t="s">
        <v>279</v>
      </c>
      <c r="F98" s="13" t="s">
        <v>150</v>
      </c>
      <c r="H98" s="13">
        <v>211.00000000000003</v>
      </c>
      <c r="I98" s="13">
        <v>123.92063492063491</v>
      </c>
      <c r="J98" s="13">
        <v>334.92063492063494</v>
      </c>
      <c r="K98" s="13">
        <v>250</v>
      </c>
      <c r="L98" s="13">
        <v>0.84400000000000008</v>
      </c>
      <c r="M98" s="13">
        <v>0.63</v>
      </c>
      <c r="N98" s="13">
        <v>0.72146540027137041</v>
      </c>
      <c r="O98" s="13">
        <v>0.5</v>
      </c>
      <c r="P98" s="13">
        <v>8</v>
      </c>
      <c r="Q98" s="13">
        <v>2</v>
      </c>
    </row>
    <row r="99" spans="1:17" ht="15.75" customHeight="1">
      <c r="A99" s="13">
        <v>7</v>
      </c>
      <c r="B99" s="13" t="s">
        <v>175</v>
      </c>
      <c r="C99" s="13" t="s">
        <v>358</v>
      </c>
      <c r="D99" s="13" t="s">
        <v>279</v>
      </c>
      <c r="F99" s="13" t="s">
        <v>30</v>
      </c>
      <c r="H99" s="13">
        <v>1</v>
      </c>
      <c r="I99" s="13">
        <v>2.0303030303030303</v>
      </c>
      <c r="J99" s="13">
        <v>3.0303030303030303</v>
      </c>
      <c r="K99" s="13">
        <v>250</v>
      </c>
      <c r="L99" s="13">
        <v>4.0000000000000001E-3</v>
      </c>
      <c r="M99" s="13">
        <v>0.33</v>
      </c>
      <c r="N99" s="13">
        <v>7.9041916167664674E-3</v>
      </c>
      <c r="O99" s="13">
        <v>0.58333333333333337</v>
      </c>
      <c r="P99" s="13">
        <v>28</v>
      </c>
      <c r="Q99" s="13">
        <v>3</v>
      </c>
    </row>
    <row r="100" spans="1:17" ht="15.75" customHeight="1">
      <c r="A100" s="13">
        <v>7</v>
      </c>
      <c r="B100" s="13" t="s">
        <v>175</v>
      </c>
      <c r="C100" s="13" t="s">
        <v>358</v>
      </c>
      <c r="D100" s="13" t="s">
        <v>279</v>
      </c>
      <c r="F100" s="13" t="s">
        <v>14</v>
      </c>
      <c r="H100" s="13">
        <v>233</v>
      </c>
      <c r="I100" s="13">
        <v>65.71794871794873</v>
      </c>
      <c r="J100" s="13">
        <v>298.71794871794873</v>
      </c>
      <c r="K100" s="13">
        <v>250</v>
      </c>
      <c r="L100" s="13">
        <v>0.93200000000000005</v>
      </c>
      <c r="M100" s="13">
        <v>0.78</v>
      </c>
      <c r="N100" s="13">
        <v>0.8492523364485981</v>
      </c>
      <c r="O100" s="13">
        <v>1</v>
      </c>
      <c r="P100" s="13">
        <v>30</v>
      </c>
      <c r="Q100" s="13">
        <v>4</v>
      </c>
    </row>
    <row r="101" spans="1:17" ht="15.75" customHeight="1">
      <c r="A101" s="13">
        <v>7</v>
      </c>
      <c r="B101" s="13" t="s">
        <v>175</v>
      </c>
      <c r="C101" s="13" t="s">
        <v>358</v>
      </c>
      <c r="D101" s="13" t="s">
        <v>279</v>
      </c>
      <c r="F101" s="13" t="s">
        <v>10</v>
      </c>
      <c r="H101" s="13">
        <v>172</v>
      </c>
      <c r="I101" s="13">
        <v>66.888888888888886</v>
      </c>
      <c r="J101" s="13">
        <v>238.88888888888889</v>
      </c>
      <c r="K101" s="13">
        <v>250</v>
      </c>
      <c r="L101" s="13">
        <v>0.68799999999999994</v>
      </c>
      <c r="M101" s="13">
        <v>0.72</v>
      </c>
      <c r="N101" s="13">
        <v>0.70363636363636362</v>
      </c>
      <c r="O101" s="13">
        <v>1.3333333333333333</v>
      </c>
      <c r="P101" s="13">
        <v>36</v>
      </c>
      <c r="Q101" s="13">
        <v>5</v>
      </c>
    </row>
    <row r="102" spans="1:17" ht="15.75" customHeight="1">
      <c r="A102" s="13">
        <v>7</v>
      </c>
      <c r="B102" s="13" t="s">
        <v>175</v>
      </c>
      <c r="C102" s="13" t="s">
        <v>358</v>
      </c>
      <c r="D102" s="13" t="s">
        <v>279</v>
      </c>
      <c r="F102" s="13" t="s">
        <v>16</v>
      </c>
      <c r="H102" s="13">
        <v>158</v>
      </c>
      <c r="I102" s="13">
        <v>257.78947368421052</v>
      </c>
      <c r="J102" s="13">
        <v>415.78947368421052</v>
      </c>
      <c r="K102" s="13">
        <v>250</v>
      </c>
      <c r="L102" s="13">
        <v>0.63200000000000001</v>
      </c>
      <c r="M102" s="13">
        <v>0.38</v>
      </c>
      <c r="N102" s="13">
        <v>0.4746245059288538</v>
      </c>
      <c r="O102" s="13">
        <v>4.666666666666667</v>
      </c>
      <c r="P102" s="13">
        <v>5</v>
      </c>
      <c r="Q102" s="13">
        <v>6</v>
      </c>
    </row>
    <row r="103" spans="1:17" ht="15.75" customHeight="1">
      <c r="A103" s="13">
        <v>7</v>
      </c>
      <c r="B103" s="13" t="s">
        <v>175</v>
      </c>
      <c r="C103" s="13" t="s">
        <v>358</v>
      </c>
      <c r="D103" s="13" t="s">
        <v>279</v>
      </c>
      <c r="F103" s="13" t="s">
        <v>164</v>
      </c>
      <c r="H103" s="13">
        <v>204</v>
      </c>
      <c r="I103" s="13">
        <v>47.851851851851848</v>
      </c>
      <c r="J103" s="13">
        <v>251.85185185185185</v>
      </c>
      <c r="K103" s="13">
        <v>250</v>
      </c>
      <c r="L103" s="13">
        <v>0.81599999999999995</v>
      </c>
      <c r="M103" s="13">
        <v>0.81</v>
      </c>
      <c r="N103" s="13">
        <v>0.81298892988929894</v>
      </c>
      <c r="O103" s="13">
        <v>5.333333333333333</v>
      </c>
      <c r="P103" s="13">
        <v>6</v>
      </c>
      <c r="Q103" s="13">
        <v>7</v>
      </c>
    </row>
    <row r="104" spans="1:17" ht="15.75" customHeight="1">
      <c r="A104" s="13">
        <v>7</v>
      </c>
      <c r="B104" s="13" t="s">
        <v>175</v>
      </c>
      <c r="C104" s="13" t="s">
        <v>358</v>
      </c>
      <c r="D104" s="13" t="s">
        <v>279</v>
      </c>
      <c r="F104" s="13" t="s">
        <v>224</v>
      </c>
      <c r="H104" s="13">
        <v>143.00000000000003</v>
      </c>
      <c r="I104" s="13">
        <v>33.543209876543216</v>
      </c>
      <c r="J104" s="13">
        <v>176.54320987654324</v>
      </c>
      <c r="K104" s="13">
        <v>250</v>
      </c>
      <c r="L104" s="13">
        <v>0.57200000000000006</v>
      </c>
      <c r="M104" s="13">
        <v>0.81</v>
      </c>
      <c r="N104" s="13">
        <v>0.6705065123010131</v>
      </c>
      <c r="O104" s="13">
        <v>5.5</v>
      </c>
      <c r="P104" s="13">
        <v>25</v>
      </c>
      <c r="Q104" s="13">
        <v>8</v>
      </c>
    </row>
    <row r="105" spans="1:17" ht="15.75" customHeight="1">
      <c r="A105" s="13">
        <v>7</v>
      </c>
      <c r="B105" s="13" t="s">
        <v>175</v>
      </c>
      <c r="C105" s="13" t="s">
        <v>358</v>
      </c>
      <c r="D105" s="13" t="s">
        <v>279</v>
      </c>
      <c r="F105" s="13" t="s">
        <v>193</v>
      </c>
      <c r="H105" s="13">
        <v>166</v>
      </c>
      <c r="I105" s="13">
        <v>41.5</v>
      </c>
      <c r="J105" s="13">
        <v>207.5</v>
      </c>
      <c r="K105" s="13">
        <v>250</v>
      </c>
      <c r="L105" s="13">
        <v>0.66400000000000003</v>
      </c>
      <c r="M105" s="13">
        <v>0.8</v>
      </c>
      <c r="N105" s="13">
        <v>0.72568306010928962</v>
      </c>
      <c r="O105" s="13">
        <v>7</v>
      </c>
      <c r="P105" s="13">
        <v>5</v>
      </c>
      <c r="Q105" s="13">
        <v>9</v>
      </c>
    </row>
    <row r="106" spans="1:17" ht="15.75" customHeight="1">
      <c r="A106" s="13">
        <v>7</v>
      </c>
      <c r="B106" s="13" t="s">
        <v>175</v>
      </c>
      <c r="C106" s="13" t="s">
        <v>358</v>
      </c>
      <c r="D106" s="13" t="s">
        <v>279</v>
      </c>
      <c r="F106" s="13" t="s">
        <v>92</v>
      </c>
      <c r="H106" s="13">
        <v>133</v>
      </c>
      <c r="I106" s="13">
        <v>359.59259259259255</v>
      </c>
      <c r="J106" s="13">
        <v>492.59259259259255</v>
      </c>
      <c r="K106" s="13">
        <v>250</v>
      </c>
      <c r="L106" s="13">
        <v>0.53200000000000003</v>
      </c>
      <c r="M106" s="13">
        <v>0.27</v>
      </c>
      <c r="N106" s="13">
        <v>0.35820448877805489</v>
      </c>
      <c r="O106" s="13">
        <v>7.666666666666667</v>
      </c>
      <c r="P106" s="13">
        <v>40</v>
      </c>
      <c r="Q106" s="13">
        <v>10</v>
      </c>
    </row>
    <row r="107" spans="1:17" ht="15.75" customHeight="1">
      <c r="A107" s="13">
        <v>7</v>
      </c>
      <c r="B107" s="13" t="s">
        <v>175</v>
      </c>
      <c r="C107" s="13" t="s">
        <v>358</v>
      </c>
      <c r="D107" s="13" t="s">
        <v>279</v>
      </c>
      <c r="F107" s="13" t="s">
        <v>226</v>
      </c>
      <c r="H107" s="13">
        <v>55.999999999999993</v>
      </c>
      <c r="I107" s="13">
        <v>743.99999999999977</v>
      </c>
      <c r="J107" s="13">
        <v>799.99999999999977</v>
      </c>
      <c r="K107" s="13">
        <v>250</v>
      </c>
      <c r="L107" s="13">
        <v>0.22399999999999998</v>
      </c>
      <c r="M107" s="13">
        <v>7.0000000000000007E-2</v>
      </c>
      <c r="N107" s="13">
        <v>0.10666666666666667</v>
      </c>
      <c r="O107" s="13">
        <v>8.5</v>
      </c>
      <c r="P107" s="13">
        <v>56</v>
      </c>
      <c r="Q107" s="13">
        <v>11</v>
      </c>
    </row>
    <row r="108" spans="1:17" ht="15.75" customHeight="1">
      <c r="A108" s="13">
        <v>7</v>
      </c>
      <c r="B108" s="13" t="s">
        <v>175</v>
      </c>
      <c r="C108" s="13" t="s">
        <v>358</v>
      </c>
      <c r="D108" s="13" t="s">
        <v>279</v>
      </c>
      <c r="F108" s="13" t="s">
        <v>25</v>
      </c>
      <c r="H108" s="13">
        <v>158</v>
      </c>
      <c r="I108" s="13">
        <v>1.5959595959595845</v>
      </c>
      <c r="J108" s="13">
        <v>159.59595959595958</v>
      </c>
      <c r="K108" s="13">
        <v>250</v>
      </c>
      <c r="L108" s="13">
        <v>0.63200000000000001</v>
      </c>
      <c r="M108" s="13">
        <v>0.99</v>
      </c>
      <c r="N108" s="13">
        <v>0.77149198520345263</v>
      </c>
      <c r="O108" s="13">
        <v>12.166666666666666</v>
      </c>
      <c r="P108" s="13">
        <v>6</v>
      </c>
      <c r="Q108" s="13">
        <v>12</v>
      </c>
    </row>
    <row r="109" spans="1:17" ht="15.75" customHeight="1">
      <c r="A109" s="13">
        <v>7</v>
      </c>
      <c r="B109" s="13" t="s">
        <v>175</v>
      </c>
      <c r="C109" s="13" t="s">
        <v>358</v>
      </c>
      <c r="D109" s="13" t="s">
        <v>279</v>
      </c>
      <c r="F109" s="13" t="s">
        <v>99</v>
      </c>
      <c r="H109" s="13">
        <v>102</v>
      </c>
      <c r="I109" s="13">
        <v>83.454545454545439</v>
      </c>
      <c r="J109" s="13">
        <v>185.45454545454544</v>
      </c>
      <c r="K109" s="13">
        <v>250</v>
      </c>
      <c r="L109" s="13">
        <v>0.40799999999999997</v>
      </c>
      <c r="M109" s="13">
        <v>0.55000000000000004</v>
      </c>
      <c r="N109" s="13">
        <v>0.46847599164926934</v>
      </c>
      <c r="O109" s="13">
        <v>24.333333333333332</v>
      </c>
      <c r="P109" s="13">
        <v>16</v>
      </c>
      <c r="Q109" s="13">
        <v>13</v>
      </c>
    </row>
    <row r="110" spans="1:17" ht="15.75" customHeight="1">
      <c r="A110" s="13">
        <v>7</v>
      </c>
      <c r="B110" s="13" t="s">
        <v>175</v>
      </c>
      <c r="C110" s="13" t="s">
        <v>358</v>
      </c>
      <c r="D110" s="13" t="s">
        <v>279</v>
      </c>
      <c r="F110" s="13" t="s">
        <v>23</v>
      </c>
      <c r="H110" s="13">
        <v>190</v>
      </c>
      <c r="I110" s="13">
        <v>14.301075268817186</v>
      </c>
      <c r="J110" s="13">
        <v>204.30107526881719</v>
      </c>
      <c r="K110" s="13">
        <v>250</v>
      </c>
      <c r="L110" s="13">
        <v>0.76</v>
      </c>
      <c r="M110" s="13">
        <v>0.93</v>
      </c>
      <c r="N110" s="13">
        <v>0.83644970414201192</v>
      </c>
      <c r="O110" s="13">
        <v>24.666666666666668</v>
      </c>
      <c r="P110" s="13">
        <v>8</v>
      </c>
      <c r="Q110" s="13">
        <v>14</v>
      </c>
    </row>
    <row r="111" spans="1:17" ht="15.75" customHeight="1">
      <c r="A111" s="13">
        <v>7</v>
      </c>
      <c r="B111" s="13" t="s">
        <v>175</v>
      </c>
      <c r="C111" s="13" t="s">
        <v>358</v>
      </c>
      <c r="D111" s="13" t="s">
        <v>279</v>
      </c>
      <c r="F111" s="13" t="s">
        <v>13</v>
      </c>
      <c r="H111" s="13">
        <v>150</v>
      </c>
      <c r="I111" s="13">
        <v>42.307692307692292</v>
      </c>
      <c r="J111" s="13">
        <v>192.30769230769229</v>
      </c>
      <c r="K111" s="13">
        <v>250</v>
      </c>
      <c r="L111" s="13">
        <v>0.6</v>
      </c>
      <c r="M111" s="13">
        <v>0.78</v>
      </c>
      <c r="N111" s="13">
        <v>0.67826086956521736</v>
      </c>
      <c r="O111" s="13">
        <v>27</v>
      </c>
      <c r="P111" s="13">
        <v>15</v>
      </c>
      <c r="Q111" s="13">
        <v>15</v>
      </c>
    </row>
    <row r="112" spans="1:17" ht="15.75" customHeight="1">
      <c r="A112" s="13">
        <v>7</v>
      </c>
      <c r="B112" s="13" t="s">
        <v>175</v>
      </c>
      <c r="C112" s="13" t="s">
        <v>358</v>
      </c>
      <c r="D112" s="13" t="s">
        <v>279</v>
      </c>
      <c r="F112" s="13" t="s">
        <v>21</v>
      </c>
      <c r="H112" s="13">
        <v>204</v>
      </c>
      <c r="I112" s="13">
        <v>319.07692307692309</v>
      </c>
      <c r="J112" s="13">
        <v>523.07692307692309</v>
      </c>
      <c r="K112" s="13">
        <v>250</v>
      </c>
      <c r="L112" s="13">
        <v>0.81599999999999995</v>
      </c>
      <c r="M112" s="13">
        <v>0.39</v>
      </c>
      <c r="N112" s="13">
        <v>0.52776119402985067</v>
      </c>
      <c r="O112" s="13">
        <v>28.583333333333332</v>
      </c>
      <c r="P112" s="13">
        <v>4</v>
      </c>
      <c r="Q112" s="13">
        <v>16</v>
      </c>
    </row>
    <row r="113" spans="1:14" ht="15.75" customHeight="1">
      <c r="A113" s="13">
        <v>7</v>
      </c>
      <c r="B113" s="13" t="s">
        <v>175</v>
      </c>
      <c r="C113" s="13" t="s">
        <v>359</v>
      </c>
      <c r="D113" s="13" t="s">
        <v>279</v>
      </c>
      <c r="F113" s="13" t="s">
        <v>14</v>
      </c>
      <c r="H113" s="13">
        <v>227</v>
      </c>
      <c r="I113" s="13">
        <v>67.805194805194787</v>
      </c>
      <c r="J113" s="13">
        <v>294.80519480519479</v>
      </c>
      <c r="K113" s="13">
        <v>250</v>
      </c>
      <c r="L113" s="13">
        <v>0.90800000000000003</v>
      </c>
      <c r="M113" s="13">
        <v>0.77</v>
      </c>
      <c r="N113" s="13">
        <v>0.83332538736591188</v>
      </c>
    </row>
    <row r="114" spans="1:14" ht="15.75" customHeight="1">
      <c r="A114" s="13">
        <v>7</v>
      </c>
      <c r="B114" s="13" t="s">
        <v>175</v>
      </c>
      <c r="C114" s="13" t="s">
        <v>359</v>
      </c>
      <c r="D114" s="13" t="s">
        <v>279</v>
      </c>
      <c r="F114" s="13" t="s">
        <v>150</v>
      </c>
      <c r="H114" s="13">
        <v>208.00000000000003</v>
      </c>
      <c r="I114" s="13">
        <v>89.142857142857196</v>
      </c>
      <c r="J114" s="13">
        <v>297.14285714285722</v>
      </c>
      <c r="K114" s="13">
        <v>250</v>
      </c>
      <c r="L114" s="13">
        <v>0.83200000000000007</v>
      </c>
      <c r="M114" s="13">
        <v>0.7</v>
      </c>
      <c r="N114" s="13">
        <v>0.760313315926893</v>
      </c>
    </row>
    <row r="115" spans="1:14" ht="15.75" customHeight="1">
      <c r="A115" s="13">
        <v>7</v>
      </c>
      <c r="B115" s="13" t="s">
        <v>175</v>
      </c>
      <c r="C115" s="13" t="s">
        <v>359</v>
      </c>
      <c r="D115" s="13" t="s">
        <v>279</v>
      </c>
      <c r="F115" s="13" t="s">
        <v>193</v>
      </c>
      <c r="H115" s="13">
        <v>162</v>
      </c>
      <c r="I115" s="13">
        <v>40.5</v>
      </c>
      <c r="J115" s="13">
        <v>202.5</v>
      </c>
      <c r="K115" s="13">
        <v>250</v>
      </c>
      <c r="L115" s="13">
        <v>0.64800000000000002</v>
      </c>
      <c r="M115" s="13">
        <v>0.8</v>
      </c>
      <c r="N115" s="13">
        <v>0.71602209944751394</v>
      </c>
    </row>
    <row r="116" spans="1:14" ht="15.75" customHeight="1">
      <c r="A116" s="13">
        <v>7</v>
      </c>
      <c r="B116" s="13" t="s">
        <v>175</v>
      </c>
      <c r="C116" s="13" t="s">
        <v>359</v>
      </c>
      <c r="D116" s="13" t="s">
        <v>279</v>
      </c>
      <c r="F116" s="13" t="s">
        <v>197</v>
      </c>
      <c r="H116" s="13">
        <v>198</v>
      </c>
      <c r="I116" s="13">
        <v>69.567567567567551</v>
      </c>
      <c r="J116" s="13">
        <v>267.56756756756755</v>
      </c>
      <c r="K116" s="13">
        <v>250</v>
      </c>
      <c r="L116" s="13">
        <v>0.79200000000000004</v>
      </c>
      <c r="M116" s="13">
        <v>0.74</v>
      </c>
      <c r="N116" s="13">
        <v>0.76511749347258495</v>
      </c>
    </row>
    <row r="117" spans="1:14" ht="15.75" customHeight="1">
      <c r="A117" s="13">
        <v>7</v>
      </c>
      <c r="B117" s="13" t="s">
        <v>175</v>
      </c>
      <c r="C117" s="13" t="s">
        <v>359</v>
      </c>
      <c r="D117" s="13" t="s">
        <v>279</v>
      </c>
      <c r="F117" s="13" t="s">
        <v>10</v>
      </c>
      <c r="H117" s="13">
        <v>175.00000000000003</v>
      </c>
      <c r="I117" s="13">
        <v>78.623188405797123</v>
      </c>
      <c r="J117" s="13">
        <v>253.62318840579715</v>
      </c>
      <c r="K117" s="13">
        <v>250</v>
      </c>
      <c r="L117" s="13">
        <v>0.70000000000000007</v>
      </c>
      <c r="M117" s="13">
        <v>0.69</v>
      </c>
      <c r="N117" s="13">
        <v>0.69496402877697838</v>
      </c>
    </row>
    <row r="118" spans="1:14" ht="15.75" customHeight="1">
      <c r="A118" s="13">
        <v>7</v>
      </c>
      <c r="B118" s="13" t="s">
        <v>175</v>
      </c>
      <c r="C118" s="13" t="s">
        <v>359</v>
      </c>
      <c r="D118" s="13" t="s">
        <v>279</v>
      </c>
      <c r="F118" s="13" t="s">
        <v>30</v>
      </c>
      <c r="H118" s="13">
        <v>43</v>
      </c>
      <c r="I118" s="13">
        <v>76.444444444444443</v>
      </c>
      <c r="J118" s="13">
        <v>119.44444444444444</v>
      </c>
      <c r="K118" s="13">
        <v>250</v>
      </c>
      <c r="L118" s="13">
        <v>0.17199999999999999</v>
      </c>
      <c r="M118" s="13">
        <v>0.36</v>
      </c>
      <c r="N118" s="13">
        <v>0.23278195488721801</v>
      </c>
    </row>
    <row r="119" spans="1:14" ht="15.75" customHeight="1">
      <c r="A119" s="13">
        <v>7</v>
      </c>
      <c r="B119" s="13" t="s">
        <v>175</v>
      </c>
      <c r="C119" s="13" t="s">
        <v>359</v>
      </c>
      <c r="D119" s="13" t="s">
        <v>279</v>
      </c>
      <c r="F119" s="13" t="s">
        <v>16</v>
      </c>
      <c r="H119" s="13">
        <v>160</v>
      </c>
      <c r="I119" s="13">
        <v>432.59259259259261</v>
      </c>
      <c r="J119" s="13">
        <v>592.59259259259261</v>
      </c>
      <c r="K119" s="13">
        <v>250</v>
      </c>
      <c r="L119" s="13">
        <v>0.64</v>
      </c>
      <c r="M119" s="13">
        <v>0.27</v>
      </c>
      <c r="N119" s="13">
        <v>0.37978021978021981</v>
      </c>
    </row>
    <row r="120" spans="1:14" ht="15.75" customHeight="1">
      <c r="A120" s="13">
        <v>7</v>
      </c>
      <c r="B120" s="13" t="s">
        <v>175</v>
      </c>
      <c r="C120" s="13" t="s">
        <v>359</v>
      </c>
      <c r="D120" s="13" t="s">
        <v>279</v>
      </c>
      <c r="F120" s="13" t="s">
        <v>13</v>
      </c>
      <c r="H120" s="13">
        <v>161</v>
      </c>
      <c r="I120" s="13">
        <v>42.797468354430379</v>
      </c>
      <c r="J120" s="13">
        <v>203.79746835443038</v>
      </c>
      <c r="K120" s="13">
        <v>250</v>
      </c>
      <c r="L120" s="13">
        <v>0.64400000000000002</v>
      </c>
      <c r="M120" s="13">
        <v>0.79</v>
      </c>
      <c r="N120" s="13">
        <v>0.70956764295676422</v>
      </c>
    </row>
    <row r="121" spans="1:14" ht="15.75" customHeight="1">
      <c r="A121" s="13">
        <v>7</v>
      </c>
      <c r="B121" s="13" t="s">
        <v>175</v>
      </c>
      <c r="C121" s="13" t="s">
        <v>359</v>
      </c>
      <c r="D121" s="13" t="s">
        <v>279</v>
      </c>
      <c r="F121" s="13" t="s">
        <v>25</v>
      </c>
      <c r="H121" s="13">
        <v>162</v>
      </c>
      <c r="I121" s="13">
        <v>1.636363636363626</v>
      </c>
      <c r="J121" s="13">
        <v>163.63636363636363</v>
      </c>
      <c r="K121" s="13">
        <v>250</v>
      </c>
      <c r="L121" s="13">
        <v>0.64800000000000002</v>
      </c>
      <c r="M121" s="13">
        <v>0.99</v>
      </c>
      <c r="N121" s="13">
        <v>0.78329670329670331</v>
      </c>
    </row>
    <row r="122" spans="1:14" ht="15.75" customHeight="1">
      <c r="A122" s="13">
        <v>7</v>
      </c>
      <c r="B122" s="13" t="s">
        <v>175</v>
      </c>
      <c r="C122" s="13" t="s">
        <v>359</v>
      </c>
      <c r="D122" s="13" t="s">
        <v>279</v>
      </c>
      <c r="F122" s="13" t="s">
        <v>21</v>
      </c>
      <c r="H122" s="13">
        <v>205.00000000000003</v>
      </c>
      <c r="I122" s="13">
        <v>295.00000000000011</v>
      </c>
      <c r="J122" s="13">
        <v>500.00000000000011</v>
      </c>
      <c r="K122" s="13">
        <v>250</v>
      </c>
      <c r="L122" s="13">
        <v>0.82000000000000006</v>
      </c>
      <c r="M122" s="13">
        <v>0.41</v>
      </c>
      <c r="N122" s="13">
        <v>0.54666666666666663</v>
      </c>
    </row>
    <row r="123" spans="1:14" ht="15.75" customHeight="1">
      <c r="A123" s="13">
        <v>7</v>
      </c>
      <c r="B123" s="13" t="s">
        <v>175</v>
      </c>
      <c r="C123" s="13" t="s">
        <v>359</v>
      </c>
      <c r="D123" s="13" t="s">
        <v>279</v>
      </c>
      <c r="F123" s="13" t="s">
        <v>92</v>
      </c>
      <c r="H123" s="13">
        <v>177</v>
      </c>
      <c r="I123" s="13">
        <v>455.14285714285711</v>
      </c>
      <c r="J123" s="13">
        <v>632.14285714285711</v>
      </c>
      <c r="K123" s="13">
        <v>250</v>
      </c>
      <c r="L123" s="13">
        <v>0.70799999999999996</v>
      </c>
      <c r="M123" s="13">
        <v>0.28000000000000003</v>
      </c>
      <c r="N123" s="13">
        <v>0.40129554655870447</v>
      </c>
    </row>
    <row r="124" spans="1:14" ht="15.75" customHeight="1">
      <c r="A124" s="13">
        <v>7</v>
      </c>
      <c r="B124" s="13" t="s">
        <v>175</v>
      </c>
      <c r="C124" s="13" t="s">
        <v>359</v>
      </c>
      <c r="D124" s="13" t="s">
        <v>279</v>
      </c>
      <c r="F124" s="13" t="s">
        <v>23</v>
      </c>
      <c r="H124" s="13">
        <v>188</v>
      </c>
      <c r="I124" s="13">
        <v>14.150537634408579</v>
      </c>
      <c r="J124" s="13">
        <v>202.15053763440858</v>
      </c>
      <c r="K124" s="13">
        <v>250</v>
      </c>
      <c r="L124" s="13">
        <v>0.752</v>
      </c>
      <c r="M124" s="13">
        <v>0.93</v>
      </c>
      <c r="N124" s="13">
        <v>0.83158145065398348</v>
      </c>
    </row>
    <row r="125" spans="1:14" ht="15.75" customHeight="1">
      <c r="A125" s="13">
        <v>7</v>
      </c>
      <c r="B125" s="13" t="s">
        <v>175</v>
      </c>
      <c r="C125" s="13" t="s">
        <v>359</v>
      </c>
      <c r="D125" s="13" t="s">
        <v>279</v>
      </c>
      <c r="F125" s="13" t="s">
        <v>164</v>
      </c>
      <c r="H125" s="13">
        <v>201.99999999999997</v>
      </c>
      <c r="I125" s="13">
        <v>47.38271604938268</v>
      </c>
      <c r="J125" s="13">
        <v>249.38271604938265</v>
      </c>
      <c r="K125" s="13">
        <v>250</v>
      </c>
      <c r="L125" s="13">
        <v>0.80799999999999994</v>
      </c>
      <c r="M125" s="13">
        <v>0.81</v>
      </c>
      <c r="N125" s="13">
        <v>0.80899876390605685</v>
      </c>
    </row>
    <row r="126" spans="1:14" ht="15.75" customHeight="1">
      <c r="A126" s="13">
        <v>7</v>
      </c>
      <c r="B126" s="13" t="s">
        <v>175</v>
      </c>
      <c r="C126" s="13" t="s">
        <v>359</v>
      </c>
      <c r="D126" s="13" t="s">
        <v>279</v>
      </c>
      <c r="F126" s="13" t="s">
        <v>99</v>
      </c>
      <c r="H126" s="13">
        <v>89.000000000000014</v>
      </c>
      <c r="I126" s="13">
        <v>69.928571428571431</v>
      </c>
      <c r="J126" s="13">
        <v>158.92857142857144</v>
      </c>
      <c r="K126" s="13">
        <v>250</v>
      </c>
      <c r="L126" s="13">
        <v>0.35600000000000004</v>
      </c>
      <c r="M126" s="13">
        <v>0.56000000000000005</v>
      </c>
      <c r="N126" s="13">
        <v>0.43528384279475985</v>
      </c>
    </row>
    <row r="127" spans="1:14" ht="15.75" customHeight="1">
      <c r="A127" s="13">
        <v>7</v>
      </c>
      <c r="B127" s="13" t="s">
        <v>175</v>
      </c>
      <c r="C127" s="13" t="s">
        <v>359</v>
      </c>
      <c r="D127" s="13" t="s">
        <v>279</v>
      </c>
      <c r="F127" s="13" t="s">
        <v>224</v>
      </c>
      <c r="H127" s="13">
        <v>147</v>
      </c>
      <c r="I127" s="13">
        <v>46.421052631578931</v>
      </c>
      <c r="J127" s="13">
        <v>193.42105263157893</v>
      </c>
      <c r="K127" s="13">
        <v>250</v>
      </c>
      <c r="L127" s="13">
        <v>0.58799999999999997</v>
      </c>
      <c r="M127" s="13">
        <v>0.76</v>
      </c>
      <c r="N127" s="13">
        <v>0.6630267062314541</v>
      </c>
    </row>
    <row r="128" spans="1:14" ht="15.75" customHeight="1">
      <c r="A128" s="13">
        <v>7</v>
      </c>
      <c r="B128" s="13" t="s">
        <v>175</v>
      </c>
      <c r="C128" s="13" t="s">
        <v>359</v>
      </c>
      <c r="D128" s="13" t="s">
        <v>279</v>
      </c>
      <c r="F128" s="13" t="s">
        <v>226</v>
      </c>
      <c r="H128" s="13">
        <v>86</v>
      </c>
      <c r="I128" s="13">
        <v>1142.5714285714284</v>
      </c>
      <c r="J128" s="13">
        <v>1228.5714285714284</v>
      </c>
      <c r="K128" s="13">
        <v>250</v>
      </c>
      <c r="L128" s="13">
        <v>0.34399999999999997</v>
      </c>
      <c r="M128" s="13">
        <v>7.0000000000000007E-2</v>
      </c>
      <c r="N128" s="13">
        <v>0.11632850241545895</v>
      </c>
    </row>
    <row r="129" spans="1:14" ht="15.75" customHeight="1">
      <c r="A129" s="13">
        <v>7</v>
      </c>
      <c r="B129" s="13" t="s">
        <v>175</v>
      </c>
      <c r="C129" s="13" t="s">
        <v>360</v>
      </c>
      <c r="D129" s="13" t="s">
        <v>279</v>
      </c>
      <c r="F129" s="13" t="s">
        <v>14</v>
      </c>
      <c r="H129" s="13">
        <v>226</v>
      </c>
      <c r="I129" s="13">
        <v>60.075949367088583</v>
      </c>
      <c r="J129" s="13">
        <v>286.07594936708858</v>
      </c>
      <c r="K129" s="13">
        <v>250</v>
      </c>
      <c r="L129" s="13">
        <v>0.90400000000000003</v>
      </c>
      <c r="M129" s="13">
        <v>0.79</v>
      </c>
      <c r="N129" s="13">
        <v>0.8431641086186541</v>
      </c>
    </row>
    <row r="130" spans="1:14" ht="15.75" customHeight="1">
      <c r="A130" s="13">
        <v>7</v>
      </c>
      <c r="B130" s="13" t="s">
        <v>175</v>
      </c>
      <c r="C130" s="13" t="s">
        <v>360</v>
      </c>
      <c r="D130" s="13" t="s">
        <v>279</v>
      </c>
      <c r="F130" s="13" t="s">
        <v>150</v>
      </c>
      <c r="H130" s="13">
        <v>207</v>
      </c>
      <c r="I130" s="13">
        <v>93</v>
      </c>
      <c r="J130" s="13">
        <v>300</v>
      </c>
      <c r="K130" s="13">
        <v>250</v>
      </c>
      <c r="L130" s="13">
        <v>0.82799999999999996</v>
      </c>
      <c r="M130" s="13">
        <v>0.69</v>
      </c>
      <c r="N130" s="13">
        <v>0.7527272727272728</v>
      </c>
    </row>
    <row r="131" spans="1:14" ht="15.75" customHeight="1">
      <c r="A131" s="13">
        <v>7</v>
      </c>
      <c r="B131" s="13" t="s">
        <v>175</v>
      </c>
      <c r="C131" s="13" t="s">
        <v>360</v>
      </c>
      <c r="D131" s="13" t="s">
        <v>279</v>
      </c>
      <c r="F131" s="13" t="s">
        <v>193</v>
      </c>
      <c r="H131" s="13">
        <v>168.99999999999997</v>
      </c>
      <c r="I131" s="13">
        <v>42.249999999999972</v>
      </c>
      <c r="J131" s="13">
        <v>211.24999999999994</v>
      </c>
      <c r="K131" s="13">
        <v>250</v>
      </c>
      <c r="L131" s="13">
        <v>0.67599999999999993</v>
      </c>
      <c r="M131" s="13">
        <v>0.8</v>
      </c>
      <c r="N131" s="13">
        <v>0.73279132791327906</v>
      </c>
    </row>
    <row r="132" spans="1:14" ht="15.75" customHeight="1">
      <c r="A132" s="13">
        <v>7</v>
      </c>
      <c r="B132" s="13" t="s">
        <v>175</v>
      </c>
      <c r="C132" s="13" t="s">
        <v>360</v>
      </c>
      <c r="D132" s="13" t="s">
        <v>279</v>
      </c>
      <c r="F132" s="13" t="s">
        <v>197</v>
      </c>
      <c r="H132" s="13">
        <v>197</v>
      </c>
      <c r="I132" s="13">
        <v>58.844155844155836</v>
      </c>
      <c r="J132" s="13">
        <v>255.84415584415584</v>
      </c>
      <c r="K132" s="13">
        <v>250</v>
      </c>
      <c r="L132" s="13">
        <v>0.78800000000000003</v>
      </c>
      <c r="M132" s="13">
        <v>0.77</v>
      </c>
      <c r="N132" s="13">
        <v>0.77889602053915286</v>
      </c>
    </row>
    <row r="133" spans="1:14" ht="15.75" customHeight="1">
      <c r="A133" s="13">
        <v>7</v>
      </c>
      <c r="B133" s="13" t="s">
        <v>175</v>
      </c>
      <c r="C133" s="13" t="s">
        <v>360</v>
      </c>
      <c r="D133" s="13" t="s">
        <v>279</v>
      </c>
      <c r="F133" s="13" t="s">
        <v>10</v>
      </c>
      <c r="H133" s="13">
        <v>168.99999999999997</v>
      </c>
      <c r="I133" s="13">
        <v>83.23880597014923</v>
      </c>
      <c r="J133" s="13">
        <v>252.2388059701492</v>
      </c>
      <c r="K133" s="13">
        <v>250</v>
      </c>
      <c r="L133" s="13">
        <v>0.67599999999999993</v>
      </c>
      <c r="M133" s="13">
        <v>0.67</v>
      </c>
      <c r="N133" s="13">
        <v>0.67298662704309054</v>
      </c>
    </row>
    <row r="134" spans="1:14" ht="15.75" customHeight="1">
      <c r="A134" s="13">
        <v>7</v>
      </c>
      <c r="B134" s="13" t="s">
        <v>175</v>
      </c>
      <c r="C134" s="13" t="s">
        <v>360</v>
      </c>
      <c r="D134" s="13" t="s">
        <v>279</v>
      </c>
      <c r="F134" s="13" t="s">
        <v>30</v>
      </c>
      <c r="H134" s="13">
        <v>43</v>
      </c>
      <c r="I134" s="13">
        <v>100.33333333333334</v>
      </c>
      <c r="J134" s="13">
        <v>143.33333333333334</v>
      </c>
      <c r="K134" s="13">
        <v>250</v>
      </c>
      <c r="L134" s="13">
        <v>0.17199999999999999</v>
      </c>
      <c r="M134" s="13">
        <v>0.3</v>
      </c>
      <c r="N134" s="13">
        <v>0.21864406779661016</v>
      </c>
    </row>
    <row r="135" spans="1:14" ht="15.75" customHeight="1">
      <c r="A135" s="13">
        <v>7</v>
      </c>
      <c r="B135" s="13" t="s">
        <v>175</v>
      </c>
      <c r="C135" s="13" t="s">
        <v>360</v>
      </c>
      <c r="D135" s="13" t="s">
        <v>279</v>
      </c>
      <c r="F135" s="13" t="s">
        <v>16</v>
      </c>
      <c r="H135" s="13">
        <v>150</v>
      </c>
      <c r="I135" s="13">
        <v>426.92307692307691</v>
      </c>
      <c r="J135" s="13">
        <v>576.92307692307691</v>
      </c>
      <c r="K135" s="13">
        <v>250</v>
      </c>
      <c r="L135" s="13">
        <v>0.6</v>
      </c>
      <c r="M135" s="13">
        <v>0.26</v>
      </c>
      <c r="N135" s="13">
        <v>0.36279069767441863</v>
      </c>
    </row>
    <row r="136" spans="1:14" ht="15.75" customHeight="1">
      <c r="A136" s="13">
        <v>7</v>
      </c>
      <c r="B136" s="13" t="s">
        <v>175</v>
      </c>
      <c r="C136" s="13" t="s">
        <v>360</v>
      </c>
      <c r="D136" s="13" t="s">
        <v>279</v>
      </c>
      <c r="F136" s="13" t="s">
        <v>13</v>
      </c>
      <c r="H136" s="13">
        <v>165</v>
      </c>
      <c r="I136" s="13">
        <v>64.166666666666686</v>
      </c>
      <c r="J136" s="13">
        <v>229.16666666666669</v>
      </c>
      <c r="K136" s="13">
        <v>250</v>
      </c>
      <c r="L136" s="13">
        <v>0.66</v>
      </c>
      <c r="M136" s="13">
        <v>0.72</v>
      </c>
      <c r="N136" s="13">
        <v>0.68869565217391315</v>
      </c>
    </row>
    <row r="137" spans="1:14" ht="15.75" customHeight="1">
      <c r="A137" s="13">
        <v>7</v>
      </c>
      <c r="B137" s="13" t="s">
        <v>175</v>
      </c>
      <c r="C137" s="13" t="s">
        <v>360</v>
      </c>
      <c r="D137" s="13" t="s">
        <v>279</v>
      </c>
      <c r="F137" s="13" t="s">
        <v>25</v>
      </c>
      <c r="H137" s="13">
        <v>152</v>
      </c>
      <c r="I137" s="13">
        <v>1.5353535353535506</v>
      </c>
      <c r="J137" s="13">
        <v>153.53535353535355</v>
      </c>
      <c r="K137" s="13">
        <v>250</v>
      </c>
      <c r="L137" s="13">
        <v>0.60799999999999998</v>
      </c>
      <c r="M137" s="13">
        <v>0.99</v>
      </c>
      <c r="N137" s="13">
        <v>0.75334167709637057</v>
      </c>
    </row>
    <row r="138" spans="1:14" ht="15.75" customHeight="1">
      <c r="A138" s="13">
        <v>7</v>
      </c>
      <c r="B138" s="13" t="s">
        <v>175</v>
      </c>
      <c r="C138" s="13" t="s">
        <v>360</v>
      </c>
      <c r="D138" s="13" t="s">
        <v>279</v>
      </c>
      <c r="F138" s="13" t="s">
        <v>21</v>
      </c>
      <c r="H138" s="13">
        <v>200</v>
      </c>
      <c r="I138" s="13">
        <v>300</v>
      </c>
      <c r="J138" s="13">
        <v>500</v>
      </c>
      <c r="K138" s="13">
        <v>250</v>
      </c>
      <c r="L138" s="13">
        <v>0.8</v>
      </c>
      <c r="M138" s="13">
        <v>0.4</v>
      </c>
      <c r="N138" s="13">
        <v>0.53333333333333333</v>
      </c>
    </row>
    <row r="139" spans="1:14" ht="15.75" customHeight="1">
      <c r="A139" s="13">
        <v>7</v>
      </c>
      <c r="B139" s="13" t="s">
        <v>175</v>
      </c>
      <c r="C139" s="13" t="s">
        <v>360</v>
      </c>
      <c r="D139" s="13" t="s">
        <v>279</v>
      </c>
      <c r="F139" s="13" t="s">
        <v>92</v>
      </c>
      <c r="H139" s="13">
        <v>182</v>
      </c>
      <c r="I139" s="13">
        <v>467.99999999999989</v>
      </c>
      <c r="J139" s="13">
        <v>649.99999999999989</v>
      </c>
      <c r="K139" s="13">
        <v>250</v>
      </c>
      <c r="L139" s="13">
        <v>0.72799999999999998</v>
      </c>
      <c r="M139" s="13">
        <v>0.28000000000000003</v>
      </c>
      <c r="N139" s="13">
        <v>0.4044444444444445</v>
      </c>
    </row>
    <row r="140" spans="1:14" ht="15.75" customHeight="1">
      <c r="A140" s="13">
        <v>7</v>
      </c>
      <c r="B140" s="13" t="s">
        <v>175</v>
      </c>
      <c r="C140" s="13" t="s">
        <v>360</v>
      </c>
      <c r="D140" s="13" t="s">
        <v>279</v>
      </c>
      <c r="F140" s="13" t="s">
        <v>23</v>
      </c>
      <c r="H140" s="13">
        <v>177</v>
      </c>
      <c r="I140" s="13">
        <v>15.391304347826065</v>
      </c>
      <c r="J140" s="13">
        <v>192.39130434782606</v>
      </c>
      <c r="K140" s="13">
        <v>250</v>
      </c>
      <c r="L140" s="13">
        <v>0.70799999999999996</v>
      </c>
      <c r="M140" s="13">
        <v>0.92</v>
      </c>
      <c r="N140" s="13">
        <v>0.80019656019656005</v>
      </c>
    </row>
    <row r="141" spans="1:14" ht="15.75" customHeight="1">
      <c r="A141" s="13">
        <v>7</v>
      </c>
      <c r="B141" s="13" t="s">
        <v>175</v>
      </c>
      <c r="C141" s="13" t="s">
        <v>360</v>
      </c>
      <c r="D141" s="13" t="s">
        <v>279</v>
      </c>
      <c r="F141" s="13" t="s">
        <v>164</v>
      </c>
      <c r="H141" s="13">
        <v>198.99999999999997</v>
      </c>
      <c r="I141" s="13">
        <v>43.682926829268297</v>
      </c>
      <c r="J141" s="13">
        <v>242.68292682926827</v>
      </c>
      <c r="K141" s="13">
        <v>250</v>
      </c>
      <c r="L141" s="13">
        <v>0.79599999999999993</v>
      </c>
      <c r="M141" s="13">
        <v>0.82</v>
      </c>
      <c r="N141" s="13">
        <v>0.80782178217821765</v>
      </c>
    </row>
    <row r="142" spans="1:14" ht="15.75" customHeight="1">
      <c r="A142" s="13">
        <v>7</v>
      </c>
      <c r="B142" s="13" t="s">
        <v>175</v>
      </c>
      <c r="C142" s="13" t="s">
        <v>360</v>
      </c>
      <c r="D142" s="13" t="s">
        <v>279</v>
      </c>
      <c r="F142" s="13" t="s">
        <v>99</v>
      </c>
      <c r="H142" s="13">
        <v>68</v>
      </c>
      <c r="I142" s="13">
        <v>51.298245614035096</v>
      </c>
      <c r="J142" s="13">
        <v>119.2982456140351</v>
      </c>
      <c r="K142" s="13">
        <v>250</v>
      </c>
      <c r="L142" s="13">
        <v>0.27200000000000002</v>
      </c>
      <c r="M142" s="13">
        <v>0.56999999999999995</v>
      </c>
      <c r="N142" s="13">
        <v>0.3682660332541568</v>
      </c>
    </row>
    <row r="143" spans="1:14" ht="15.75" customHeight="1">
      <c r="A143" s="13">
        <v>7</v>
      </c>
      <c r="B143" s="13" t="s">
        <v>175</v>
      </c>
      <c r="C143" s="13" t="s">
        <v>360</v>
      </c>
      <c r="D143" s="13" t="s">
        <v>279</v>
      </c>
      <c r="F143" s="13" t="s">
        <v>224</v>
      </c>
      <c r="H143" s="13">
        <v>139</v>
      </c>
      <c r="I143" s="13">
        <v>36.949367088607573</v>
      </c>
      <c r="J143" s="13">
        <v>175.94936708860757</v>
      </c>
      <c r="K143" s="13">
        <v>250</v>
      </c>
      <c r="L143" s="13">
        <v>0.55600000000000005</v>
      </c>
      <c r="M143" s="13">
        <v>0.79</v>
      </c>
      <c r="N143" s="13">
        <v>0.65265973254086185</v>
      </c>
    </row>
    <row r="144" spans="1:14" ht="15.75" customHeight="1">
      <c r="A144" s="13">
        <v>7</v>
      </c>
      <c r="B144" s="13" t="s">
        <v>175</v>
      </c>
      <c r="C144" s="13" t="s">
        <v>360</v>
      </c>
      <c r="D144" s="13" t="s">
        <v>279</v>
      </c>
      <c r="F144" s="13" t="s">
        <v>226</v>
      </c>
      <c r="H144" s="13">
        <v>85</v>
      </c>
      <c r="I144" s="13">
        <v>977.5</v>
      </c>
      <c r="J144" s="13">
        <v>1062.5</v>
      </c>
      <c r="K144" s="13">
        <v>250</v>
      </c>
      <c r="L144" s="13">
        <v>0.34</v>
      </c>
      <c r="M144" s="13">
        <v>0.08</v>
      </c>
      <c r="N144" s="13">
        <v>0.12952380952380951</v>
      </c>
    </row>
    <row r="145" spans="1:14" ht="15.75" customHeight="1">
      <c r="A145" s="13">
        <v>8</v>
      </c>
      <c r="B145" s="13" t="s">
        <v>234</v>
      </c>
      <c r="C145" s="13" t="s">
        <v>364</v>
      </c>
      <c r="D145" s="13" t="s">
        <v>279</v>
      </c>
      <c r="F145" s="13" t="s">
        <v>365</v>
      </c>
      <c r="H145" s="13">
        <v>1989</v>
      </c>
      <c r="I145" s="13">
        <v>90</v>
      </c>
      <c r="J145" s="13">
        <v>2079</v>
      </c>
      <c r="K145" s="13">
        <v>2500</v>
      </c>
      <c r="L145" s="13">
        <v>0.79599999999999993</v>
      </c>
      <c r="M145" s="13">
        <v>0.95700000000000007</v>
      </c>
      <c r="N145" s="13">
        <v>0.86900000000000011</v>
      </c>
    </row>
    <row r="146" spans="1:14" ht="15.75" customHeight="1">
      <c r="A146" s="13">
        <v>8</v>
      </c>
      <c r="B146" s="13" t="s">
        <v>234</v>
      </c>
      <c r="C146" s="13" t="s">
        <v>364</v>
      </c>
      <c r="D146" s="13" t="s">
        <v>279</v>
      </c>
      <c r="F146" s="13" t="s">
        <v>243</v>
      </c>
      <c r="H146" s="13">
        <v>2091</v>
      </c>
      <c r="I146" s="13">
        <v>164</v>
      </c>
      <c r="J146" s="13">
        <v>2255</v>
      </c>
      <c r="K146" s="13">
        <v>2500</v>
      </c>
      <c r="L146" s="13">
        <v>0.83599999999999997</v>
      </c>
      <c r="M146" s="13">
        <v>0.92700000000000005</v>
      </c>
      <c r="N146" s="13">
        <v>0.879</v>
      </c>
    </row>
    <row r="147" spans="1:14" ht="15.75" customHeight="1">
      <c r="A147" s="13">
        <v>8</v>
      </c>
      <c r="B147" s="13" t="s">
        <v>234</v>
      </c>
      <c r="C147" s="13" t="s">
        <v>364</v>
      </c>
      <c r="D147" s="13" t="s">
        <v>279</v>
      </c>
      <c r="F147" s="13" t="s">
        <v>14</v>
      </c>
      <c r="H147" s="13">
        <v>2104</v>
      </c>
      <c r="I147" s="13">
        <v>273</v>
      </c>
      <c r="J147" s="13">
        <v>2377</v>
      </c>
      <c r="K147" s="13">
        <v>2500</v>
      </c>
      <c r="L147" s="13">
        <v>0.84200000000000008</v>
      </c>
      <c r="M147" s="13">
        <v>0.88500000000000001</v>
      </c>
      <c r="N147" s="13">
        <v>0.86299999999999999</v>
      </c>
    </row>
    <row r="148" spans="1:14" ht="15.75" customHeight="1">
      <c r="A148" s="13">
        <v>8</v>
      </c>
      <c r="B148" s="13" t="s">
        <v>234</v>
      </c>
      <c r="C148" s="13" t="s">
        <v>364</v>
      </c>
      <c r="D148" s="13" t="s">
        <v>279</v>
      </c>
      <c r="F148" s="13" t="s">
        <v>10</v>
      </c>
      <c r="H148" s="13">
        <v>1929</v>
      </c>
      <c r="I148" s="13">
        <v>117</v>
      </c>
      <c r="J148" s="13">
        <v>2046</v>
      </c>
      <c r="K148" s="13">
        <v>2500</v>
      </c>
      <c r="L148" s="13">
        <v>0.77200000000000002</v>
      </c>
      <c r="M148" s="13">
        <v>0.94299999999999995</v>
      </c>
      <c r="N148" s="13">
        <v>0.84900000000000009</v>
      </c>
    </row>
    <row r="149" spans="1:14" ht="15.75" customHeight="1">
      <c r="A149" s="13">
        <v>8</v>
      </c>
      <c r="B149" s="13" t="s">
        <v>234</v>
      </c>
      <c r="C149" s="13" t="s">
        <v>364</v>
      </c>
      <c r="D149" s="13" t="s">
        <v>279</v>
      </c>
      <c r="F149" s="13" t="s">
        <v>19</v>
      </c>
      <c r="H149" s="13">
        <v>1953</v>
      </c>
      <c r="I149" s="13">
        <v>306</v>
      </c>
      <c r="J149" s="13">
        <v>2259</v>
      </c>
      <c r="K149" s="13">
        <v>2500</v>
      </c>
      <c r="L149" s="13">
        <v>0.78099999999999992</v>
      </c>
      <c r="M149" s="13">
        <v>0.86499999999999999</v>
      </c>
      <c r="N149" s="13">
        <v>0.82099999999999995</v>
      </c>
    </row>
    <row r="150" spans="1:14" ht="15.75" customHeight="1">
      <c r="A150" s="13">
        <v>8</v>
      </c>
      <c r="B150" s="13" t="s">
        <v>234</v>
      </c>
      <c r="C150" s="13" t="s">
        <v>364</v>
      </c>
      <c r="D150" s="13" t="s">
        <v>279</v>
      </c>
      <c r="F150" s="13" t="s">
        <v>321</v>
      </c>
      <c r="H150" s="13">
        <v>1910</v>
      </c>
      <c r="I150" s="13">
        <v>179</v>
      </c>
      <c r="J150" s="13">
        <v>2089</v>
      </c>
      <c r="K150" s="13">
        <v>2500</v>
      </c>
      <c r="L150" s="13">
        <v>0.76400000000000001</v>
      </c>
      <c r="M150" s="13">
        <v>0.91400000000000003</v>
      </c>
      <c r="N150" s="13">
        <v>0.83200000000000007</v>
      </c>
    </row>
    <row r="151" spans="1:14" ht="15.75" customHeight="1">
      <c r="A151" s="13">
        <v>8</v>
      </c>
      <c r="B151" s="13" t="s">
        <v>234</v>
      </c>
      <c r="C151" s="13" t="s">
        <v>364</v>
      </c>
      <c r="D151" s="13" t="s">
        <v>279</v>
      </c>
      <c r="F151" s="13" t="s">
        <v>16</v>
      </c>
      <c r="H151" s="13">
        <v>1408</v>
      </c>
      <c r="I151" s="13">
        <v>68</v>
      </c>
      <c r="J151" s="13">
        <v>1476</v>
      </c>
      <c r="K151" s="13">
        <v>2500</v>
      </c>
      <c r="L151" s="13">
        <v>0.56299999999999994</v>
      </c>
      <c r="M151" s="13">
        <v>0.95400000000000007</v>
      </c>
      <c r="N151" s="13">
        <v>0.70799999999999996</v>
      </c>
    </row>
    <row r="152" spans="1:14" ht="15.75" customHeight="1">
      <c r="A152" s="13">
        <v>8</v>
      </c>
      <c r="B152" s="13" t="s">
        <v>234</v>
      </c>
      <c r="C152" s="13" t="s">
        <v>364</v>
      </c>
      <c r="D152" s="13" t="s">
        <v>279</v>
      </c>
      <c r="F152" s="13" t="s">
        <v>224</v>
      </c>
      <c r="H152" s="13">
        <v>1727</v>
      </c>
      <c r="I152" s="13">
        <v>325</v>
      </c>
      <c r="J152" s="13">
        <v>2052</v>
      </c>
      <c r="K152" s="13">
        <v>2500</v>
      </c>
      <c r="L152" s="13">
        <v>0.69099999999999995</v>
      </c>
      <c r="M152" s="13">
        <v>0.84200000000000008</v>
      </c>
      <c r="N152" s="13">
        <v>0.75900000000000001</v>
      </c>
    </row>
    <row r="153" spans="1:14" ht="15.75" customHeight="1">
      <c r="A153" s="13">
        <v>8</v>
      </c>
      <c r="B153" s="13" t="s">
        <v>234</v>
      </c>
      <c r="C153" s="13" t="s">
        <v>364</v>
      </c>
      <c r="D153" s="13" t="s">
        <v>279</v>
      </c>
      <c r="F153" s="13" t="s">
        <v>91</v>
      </c>
      <c r="H153" s="13">
        <v>1500</v>
      </c>
      <c r="I153" s="13">
        <v>122</v>
      </c>
      <c r="J153" s="13">
        <v>1622</v>
      </c>
      <c r="K153" s="13">
        <v>2500</v>
      </c>
      <c r="L153" s="13">
        <v>0.6</v>
      </c>
      <c r="M153" s="13">
        <v>0.92500000000000004</v>
      </c>
      <c r="N153" s="13">
        <v>0.72799999999999998</v>
      </c>
    </row>
    <row r="154" spans="1:14" ht="15.75" customHeight="1">
      <c r="A154" s="13">
        <v>8</v>
      </c>
      <c r="B154" s="13" t="s">
        <v>234</v>
      </c>
      <c r="C154" s="13" t="s">
        <v>366</v>
      </c>
      <c r="D154" s="13" t="s">
        <v>279</v>
      </c>
      <c r="E154" s="13" t="s">
        <v>367</v>
      </c>
      <c r="F154" s="13" t="s">
        <v>365</v>
      </c>
      <c r="H154" s="13">
        <v>2333</v>
      </c>
      <c r="I154" s="13">
        <v>86</v>
      </c>
      <c r="J154" s="13">
        <v>2419</v>
      </c>
      <c r="K154" s="13">
        <v>2500</v>
      </c>
      <c r="L154" s="13">
        <v>0.93299999999999994</v>
      </c>
      <c r="M154" s="13">
        <v>0.96400000000000008</v>
      </c>
      <c r="N154" s="13">
        <v>0.94799999999999995</v>
      </c>
    </row>
    <row r="155" spans="1:14" ht="15.75" customHeight="1">
      <c r="A155" s="13">
        <v>8</v>
      </c>
      <c r="B155" s="13" t="s">
        <v>234</v>
      </c>
      <c r="C155" s="13" t="s">
        <v>366</v>
      </c>
      <c r="D155" s="13" t="s">
        <v>279</v>
      </c>
      <c r="F155" s="13" t="s">
        <v>243</v>
      </c>
      <c r="H155" s="13">
        <v>2389</v>
      </c>
      <c r="I155" s="13">
        <v>147</v>
      </c>
      <c r="J155" s="13">
        <v>2536</v>
      </c>
      <c r="K155" s="13">
        <v>2500</v>
      </c>
      <c r="L155" s="13">
        <v>0.95599999999999996</v>
      </c>
      <c r="M155" s="13">
        <v>0.94200000000000006</v>
      </c>
      <c r="N155" s="13">
        <v>0.94900000000000007</v>
      </c>
    </row>
    <row r="156" spans="1:14" ht="15.75" customHeight="1">
      <c r="A156" s="13">
        <v>8</v>
      </c>
      <c r="B156" s="13" t="s">
        <v>234</v>
      </c>
      <c r="C156" s="13" t="s">
        <v>366</v>
      </c>
      <c r="D156" s="13" t="s">
        <v>279</v>
      </c>
      <c r="F156" s="13" t="s">
        <v>14</v>
      </c>
      <c r="H156" s="13">
        <v>2304</v>
      </c>
      <c r="I156" s="13">
        <v>260</v>
      </c>
      <c r="J156" s="13">
        <v>2564</v>
      </c>
      <c r="K156" s="13">
        <v>2500</v>
      </c>
      <c r="L156" s="13">
        <v>0.92200000000000004</v>
      </c>
      <c r="M156" s="13">
        <v>0.89900000000000002</v>
      </c>
      <c r="N156" s="13">
        <v>0.91</v>
      </c>
    </row>
    <row r="157" spans="1:14" ht="15.75" customHeight="1">
      <c r="A157" s="13">
        <v>8</v>
      </c>
      <c r="B157" s="13" t="s">
        <v>234</v>
      </c>
      <c r="C157" s="13" t="s">
        <v>366</v>
      </c>
      <c r="D157" s="13" t="s">
        <v>279</v>
      </c>
      <c r="F157" s="13" t="s">
        <v>10</v>
      </c>
      <c r="H157" s="13">
        <v>2250</v>
      </c>
      <c r="I157" s="13">
        <v>170</v>
      </c>
      <c r="J157" s="13">
        <v>2420</v>
      </c>
      <c r="K157" s="13">
        <v>2500</v>
      </c>
      <c r="L157" s="13">
        <v>0.9</v>
      </c>
      <c r="M157" s="13">
        <v>0.93</v>
      </c>
      <c r="N157" s="13">
        <v>0.91500000000000004</v>
      </c>
    </row>
    <row r="158" spans="1:14" ht="15.75" customHeight="1">
      <c r="A158" s="13">
        <v>8</v>
      </c>
      <c r="B158" s="13" t="s">
        <v>234</v>
      </c>
      <c r="C158" s="13" t="s">
        <v>366</v>
      </c>
      <c r="D158" s="13" t="s">
        <v>279</v>
      </c>
      <c r="F158" s="13" t="s">
        <v>19</v>
      </c>
      <c r="H158" s="13">
        <v>2337</v>
      </c>
      <c r="I158" s="13">
        <v>306</v>
      </c>
      <c r="J158" s="13">
        <v>2643</v>
      </c>
      <c r="K158" s="13">
        <v>2500</v>
      </c>
      <c r="L158" s="13">
        <v>0.93500000000000005</v>
      </c>
      <c r="M158" s="13">
        <v>0.88400000000000001</v>
      </c>
      <c r="N158" s="13">
        <v>0.90900000000000003</v>
      </c>
    </row>
    <row r="159" spans="1:14" ht="15.75" customHeight="1">
      <c r="A159" s="13">
        <v>8</v>
      </c>
      <c r="B159" s="13" t="s">
        <v>234</v>
      </c>
      <c r="C159" s="13" t="s">
        <v>366</v>
      </c>
      <c r="D159" s="13" t="s">
        <v>279</v>
      </c>
      <c r="F159" s="13" t="s">
        <v>321</v>
      </c>
      <c r="H159" s="13">
        <v>2191</v>
      </c>
      <c r="I159" s="13">
        <v>312</v>
      </c>
      <c r="J159" s="13">
        <v>2503</v>
      </c>
      <c r="K159" s="13">
        <v>2500</v>
      </c>
      <c r="L159" s="13">
        <v>0.87599999999999989</v>
      </c>
      <c r="M159" s="13">
        <v>0.875</v>
      </c>
      <c r="N159" s="13">
        <v>0.875</v>
      </c>
    </row>
    <row r="160" spans="1:14" ht="15.75" customHeight="1">
      <c r="A160" s="13">
        <v>8</v>
      </c>
      <c r="B160" s="13" t="s">
        <v>234</v>
      </c>
      <c r="C160" s="13" t="s">
        <v>366</v>
      </c>
      <c r="D160" s="13" t="s">
        <v>279</v>
      </c>
      <c r="F160" s="13" t="s">
        <v>16</v>
      </c>
      <c r="H160" s="13">
        <v>1722</v>
      </c>
      <c r="I160" s="13">
        <v>445</v>
      </c>
      <c r="J160" s="13">
        <v>2167</v>
      </c>
      <c r="K160" s="13">
        <v>2500</v>
      </c>
      <c r="L160" s="13">
        <v>0.68900000000000006</v>
      </c>
      <c r="M160" s="13">
        <v>0.79500000000000004</v>
      </c>
      <c r="N160" s="13">
        <v>0.73799999999999999</v>
      </c>
    </row>
    <row r="161" spans="1:14" ht="15.75" customHeight="1">
      <c r="A161" s="13">
        <v>8</v>
      </c>
      <c r="B161" s="13" t="s">
        <v>234</v>
      </c>
      <c r="C161" s="13" t="s">
        <v>366</v>
      </c>
      <c r="D161" s="13" t="s">
        <v>279</v>
      </c>
      <c r="F161" s="13" t="s">
        <v>224</v>
      </c>
      <c r="H161" s="13">
        <v>1708</v>
      </c>
      <c r="I161" s="13">
        <v>369</v>
      </c>
      <c r="J161" s="13">
        <v>2077</v>
      </c>
      <c r="K161" s="13">
        <v>2500</v>
      </c>
      <c r="L161" s="13">
        <v>0.68299999999999994</v>
      </c>
      <c r="M161" s="13">
        <v>0.82200000000000006</v>
      </c>
      <c r="N161" s="13">
        <v>0.746</v>
      </c>
    </row>
    <row r="162" spans="1:14" ht="15.75" customHeight="1">
      <c r="A162" s="13">
        <v>8</v>
      </c>
      <c r="B162" s="13" t="s">
        <v>234</v>
      </c>
      <c r="C162" s="13" t="s">
        <v>366</v>
      </c>
      <c r="D162" s="13" t="s">
        <v>279</v>
      </c>
      <c r="F162" s="13" t="s">
        <v>91</v>
      </c>
      <c r="H162" s="13">
        <v>1986</v>
      </c>
      <c r="I162" s="13">
        <v>81</v>
      </c>
      <c r="J162" s="13">
        <v>2067</v>
      </c>
      <c r="K162" s="13">
        <v>2500</v>
      </c>
      <c r="L162" s="13">
        <v>0.79400000000000004</v>
      </c>
      <c r="M162" s="13">
        <v>0.96099999999999997</v>
      </c>
      <c r="N162" s="13">
        <v>0.87</v>
      </c>
    </row>
    <row r="163" spans="1:14" ht="15.75" customHeight="1">
      <c r="A163" s="13">
        <v>8</v>
      </c>
      <c r="B163" s="13" t="s">
        <v>234</v>
      </c>
      <c r="C163" s="13" t="s">
        <v>368</v>
      </c>
      <c r="D163" s="13" t="s">
        <v>279</v>
      </c>
      <c r="E163" s="13" t="s">
        <v>369</v>
      </c>
      <c r="F163" s="13" t="s">
        <v>365</v>
      </c>
      <c r="H163" s="13">
        <v>56</v>
      </c>
      <c r="I163" s="13">
        <v>3</v>
      </c>
      <c r="J163" s="13">
        <v>59</v>
      </c>
      <c r="K163" s="13">
        <v>61</v>
      </c>
      <c r="L163" s="13">
        <v>0.91799999999999993</v>
      </c>
      <c r="M163" s="13">
        <v>0.94900000000000007</v>
      </c>
      <c r="N163" s="13">
        <v>0.93299999999999994</v>
      </c>
    </row>
    <row r="164" spans="1:14" ht="15.75" customHeight="1">
      <c r="A164" s="13">
        <v>8</v>
      </c>
      <c r="B164" s="13" t="s">
        <v>234</v>
      </c>
      <c r="C164" s="13" t="s">
        <v>368</v>
      </c>
      <c r="D164" s="13" t="s">
        <v>279</v>
      </c>
      <c r="F164" s="13" t="s">
        <v>243</v>
      </c>
      <c r="H164" s="13">
        <v>57</v>
      </c>
      <c r="I164" s="13">
        <v>12</v>
      </c>
      <c r="J164" s="13">
        <v>69</v>
      </c>
      <c r="K164" s="13">
        <v>61</v>
      </c>
      <c r="L164" s="13">
        <v>0.93400000000000005</v>
      </c>
      <c r="M164" s="13">
        <v>0.82599999999999996</v>
      </c>
      <c r="N164" s="13">
        <v>0.877</v>
      </c>
    </row>
    <row r="165" spans="1:14" ht="15.75" customHeight="1">
      <c r="A165" s="13">
        <v>8</v>
      </c>
      <c r="B165" s="13" t="s">
        <v>234</v>
      </c>
      <c r="C165" s="13" t="s">
        <v>368</v>
      </c>
      <c r="D165" s="13" t="s">
        <v>279</v>
      </c>
      <c r="F165" s="13" t="s">
        <v>14</v>
      </c>
      <c r="H165" s="13">
        <v>56</v>
      </c>
      <c r="I165" s="13">
        <v>17</v>
      </c>
      <c r="J165" s="13">
        <v>73</v>
      </c>
      <c r="K165" s="13">
        <v>61</v>
      </c>
      <c r="L165" s="13">
        <v>0.91799999999999993</v>
      </c>
      <c r="M165" s="13">
        <v>0.76700000000000002</v>
      </c>
      <c r="N165" s="13">
        <v>0.83599999999999997</v>
      </c>
    </row>
    <row r="166" spans="1:14" ht="15.75" customHeight="1">
      <c r="A166" s="13">
        <v>8</v>
      </c>
      <c r="B166" s="13" t="s">
        <v>234</v>
      </c>
      <c r="C166" s="13" t="s">
        <v>368</v>
      </c>
      <c r="D166" s="13" t="s">
        <v>279</v>
      </c>
      <c r="F166" s="13" t="s">
        <v>10</v>
      </c>
      <c r="H166" s="13">
        <v>50</v>
      </c>
      <c r="I166" s="13">
        <v>11</v>
      </c>
      <c r="J166" s="13">
        <v>61</v>
      </c>
      <c r="K166" s="13">
        <v>61</v>
      </c>
      <c r="L166" s="13">
        <v>0.82</v>
      </c>
      <c r="M166" s="13">
        <v>0.82</v>
      </c>
      <c r="N166" s="13">
        <v>0.82</v>
      </c>
    </row>
    <row r="167" spans="1:14" ht="15.75" customHeight="1">
      <c r="A167" s="13">
        <v>8</v>
      </c>
      <c r="B167" s="13" t="s">
        <v>234</v>
      </c>
      <c r="C167" s="13" t="s">
        <v>368</v>
      </c>
      <c r="D167" s="13" t="s">
        <v>279</v>
      </c>
      <c r="F167" s="13" t="s">
        <v>19</v>
      </c>
      <c r="H167" s="13">
        <v>57</v>
      </c>
      <c r="I167" s="13">
        <v>33</v>
      </c>
      <c r="J167" s="13">
        <v>90</v>
      </c>
      <c r="K167" s="13">
        <v>61</v>
      </c>
      <c r="L167" s="13">
        <v>0.93400000000000005</v>
      </c>
      <c r="M167" s="13">
        <v>0.63300000000000001</v>
      </c>
      <c r="N167" s="13">
        <v>0.755</v>
      </c>
    </row>
    <row r="168" spans="1:14" ht="15.75" customHeight="1">
      <c r="A168" s="13">
        <v>8</v>
      </c>
      <c r="B168" s="13" t="s">
        <v>234</v>
      </c>
      <c r="C168" s="13" t="s">
        <v>368</v>
      </c>
      <c r="D168" s="13" t="s">
        <v>279</v>
      </c>
      <c r="F168" s="13" t="s">
        <v>321</v>
      </c>
      <c r="H168" s="13">
        <v>51</v>
      </c>
      <c r="I168" s="13">
        <v>231</v>
      </c>
      <c r="J168" s="13">
        <v>282</v>
      </c>
      <c r="K168" s="13">
        <v>61</v>
      </c>
      <c r="L168" s="13">
        <v>0.83599999999999997</v>
      </c>
      <c r="M168" s="13">
        <v>0.18100000000000002</v>
      </c>
      <c r="N168" s="13">
        <v>0.29799999999999999</v>
      </c>
    </row>
    <row r="169" spans="1:14" ht="15.75" customHeight="1">
      <c r="A169" s="13">
        <v>8</v>
      </c>
      <c r="B169" s="13" t="s">
        <v>234</v>
      </c>
      <c r="C169" s="13" t="s">
        <v>368</v>
      </c>
      <c r="D169" s="13" t="s">
        <v>279</v>
      </c>
      <c r="F169" s="13" t="s">
        <v>16</v>
      </c>
      <c r="H169" s="13">
        <v>40</v>
      </c>
      <c r="I169" s="13">
        <v>262</v>
      </c>
      <c r="J169" s="13">
        <v>302</v>
      </c>
      <c r="K169" s="13">
        <v>61</v>
      </c>
      <c r="L169" s="13">
        <v>0.65599999999999992</v>
      </c>
      <c r="M169" s="13">
        <v>0.13200000000000001</v>
      </c>
      <c r="N169" s="13">
        <v>0.22</v>
      </c>
    </row>
    <row r="170" spans="1:14" ht="15.75" customHeight="1">
      <c r="A170" s="13">
        <v>8</v>
      </c>
      <c r="B170" s="13" t="s">
        <v>234</v>
      </c>
      <c r="C170" s="13" t="s">
        <v>368</v>
      </c>
      <c r="D170" s="13" t="s">
        <v>279</v>
      </c>
      <c r="F170" s="13" t="s">
        <v>224</v>
      </c>
      <c r="H170" s="13">
        <v>45</v>
      </c>
      <c r="I170" s="13">
        <v>186</v>
      </c>
      <c r="J170" s="13">
        <v>231</v>
      </c>
      <c r="K170" s="13">
        <v>61</v>
      </c>
      <c r="L170" s="13">
        <v>0.73799999999999999</v>
      </c>
      <c r="M170" s="13">
        <v>0.19500000000000001</v>
      </c>
      <c r="N170" s="13">
        <v>0.308</v>
      </c>
    </row>
    <row r="171" spans="1:14" ht="15.75" customHeight="1">
      <c r="A171" s="13">
        <v>8</v>
      </c>
      <c r="B171" s="13" t="s">
        <v>234</v>
      </c>
      <c r="C171" s="13" t="s">
        <v>368</v>
      </c>
      <c r="D171" s="13" t="s">
        <v>279</v>
      </c>
      <c r="F171" s="13" t="s">
        <v>91</v>
      </c>
      <c r="H171" s="13">
        <v>42</v>
      </c>
      <c r="I171" s="13">
        <v>12</v>
      </c>
      <c r="J171" s="13">
        <v>54</v>
      </c>
      <c r="K171" s="13">
        <v>61</v>
      </c>
      <c r="L171" s="13">
        <v>0.68900000000000006</v>
      </c>
      <c r="M171" s="13">
        <v>0.77800000000000002</v>
      </c>
      <c r="N171" s="13">
        <v>0.73099999999999998</v>
      </c>
    </row>
    <row r="172" spans="1:14" ht="15.75" customHeight="1">
      <c r="A172" s="13">
        <v>10</v>
      </c>
      <c r="B172" s="13" t="s">
        <v>255</v>
      </c>
      <c r="C172" s="13" t="s">
        <v>375</v>
      </c>
      <c r="D172" s="13" t="s">
        <v>279</v>
      </c>
      <c r="F172" s="13" t="s">
        <v>376</v>
      </c>
      <c r="H172" s="13">
        <v>44</v>
      </c>
      <c r="I172" s="13">
        <v>0</v>
      </c>
      <c r="J172" s="13">
        <v>44</v>
      </c>
      <c r="K172" s="13">
        <v>50</v>
      </c>
      <c r="L172" s="13">
        <v>0.88</v>
      </c>
      <c r="M172" s="13">
        <v>1</v>
      </c>
      <c r="N172" s="13">
        <v>0.93617021276595747</v>
      </c>
    </row>
    <row r="173" spans="1:14" ht="15.75" customHeight="1">
      <c r="A173" s="13">
        <v>10</v>
      </c>
      <c r="B173" s="13" t="s">
        <v>255</v>
      </c>
      <c r="C173" s="13" t="s">
        <v>375</v>
      </c>
      <c r="D173" s="13" t="s">
        <v>279</v>
      </c>
      <c r="F173" s="13" t="s">
        <v>377</v>
      </c>
      <c r="H173" s="13">
        <v>39</v>
      </c>
      <c r="I173" s="13">
        <v>0</v>
      </c>
      <c r="J173" s="13">
        <v>39</v>
      </c>
      <c r="K173" s="13">
        <v>50</v>
      </c>
      <c r="L173" s="13">
        <v>0.78</v>
      </c>
      <c r="M173" s="13">
        <v>1</v>
      </c>
      <c r="N173" s="13">
        <v>0.8764044943820225</v>
      </c>
    </row>
    <row r="174" spans="1:14" ht="15.75" customHeight="1">
      <c r="A174" s="13">
        <v>10</v>
      </c>
      <c r="B174" s="13" t="s">
        <v>255</v>
      </c>
      <c r="C174" s="13" t="s">
        <v>375</v>
      </c>
      <c r="D174" s="13" t="s">
        <v>279</v>
      </c>
      <c r="F174" s="13" t="s">
        <v>164</v>
      </c>
      <c r="H174" s="13">
        <v>37</v>
      </c>
      <c r="I174" s="13">
        <v>1</v>
      </c>
      <c r="J174" s="13">
        <v>38</v>
      </c>
      <c r="K174" s="13">
        <v>50</v>
      </c>
      <c r="L174" s="13">
        <v>0.74</v>
      </c>
      <c r="M174" s="13">
        <v>0.97368421052631582</v>
      </c>
      <c r="N174" s="13">
        <v>0.84090909090909094</v>
      </c>
    </row>
    <row r="175" spans="1:14" ht="15.75" customHeight="1">
      <c r="A175" s="13">
        <v>10</v>
      </c>
      <c r="B175" s="13" t="s">
        <v>255</v>
      </c>
      <c r="C175" s="13" t="s">
        <v>375</v>
      </c>
      <c r="D175" s="13" t="s">
        <v>279</v>
      </c>
      <c r="F175" s="13" t="s">
        <v>378</v>
      </c>
      <c r="H175" s="13">
        <v>34</v>
      </c>
      <c r="I175" s="13">
        <v>0</v>
      </c>
      <c r="J175" s="13">
        <v>34</v>
      </c>
      <c r="K175" s="13">
        <v>50</v>
      </c>
      <c r="L175" s="13">
        <v>0.68</v>
      </c>
      <c r="M175" s="13">
        <v>1</v>
      </c>
      <c r="N175" s="13">
        <v>0.80952380952380953</v>
      </c>
    </row>
    <row r="176" spans="1:14" ht="15.75" customHeight="1">
      <c r="A176" s="13">
        <v>10</v>
      </c>
      <c r="B176" s="13" t="s">
        <v>255</v>
      </c>
      <c r="C176" s="13" t="s">
        <v>375</v>
      </c>
      <c r="D176" s="13" t="s">
        <v>279</v>
      </c>
      <c r="F176" s="13" t="s">
        <v>22</v>
      </c>
      <c r="H176" s="13">
        <v>34</v>
      </c>
      <c r="I176" s="13">
        <v>0</v>
      </c>
      <c r="J176" s="13">
        <v>34</v>
      </c>
      <c r="K176" s="13">
        <v>50</v>
      </c>
      <c r="L176" s="13">
        <v>0.68</v>
      </c>
      <c r="M176" s="13">
        <v>1</v>
      </c>
      <c r="N176" s="13">
        <v>0.80952380952380953</v>
      </c>
    </row>
    <row r="177" spans="1:14" ht="15.75" customHeight="1">
      <c r="A177" s="13">
        <v>10</v>
      </c>
      <c r="B177" s="13" t="s">
        <v>255</v>
      </c>
      <c r="C177" s="13" t="s">
        <v>375</v>
      </c>
      <c r="D177" s="13" t="s">
        <v>279</v>
      </c>
      <c r="F177" s="13" t="s">
        <v>99</v>
      </c>
      <c r="H177" s="13">
        <v>27</v>
      </c>
      <c r="I177" s="13">
        <v>0</v>
      </c>
      <c r="J177" s="13">
        <v>27</v>
      </c>
      <c r="K177" s="13">
        <v>50</v>
      </c>
      <c r="L177" s="13">
        <v>0.54</v>
      </c>
      <c r="M177" s="13">
        <v>1</v>
      </c>
      <c r="N177" s="13">
        <v>0.70129870129870131</v>
      </c>
    </row>
    <row r="178" spans="1:14" ht="15.75" customHeight="1">
      <c r="A178" s="13">
        <v>10</v>
      </c>
      <c r="B178" s="13" t="s">
        <v>255</v>
      </c>
      <c r="C178" s="13" t="s">
        <v>375</v>
      </c>
      <c r="D178" s="13" t="s">
        <v>279</v>
      </c>
      <c r="F178" s="13" t="s">
        <v>13</v>
      </c>
      <c r="H178" s="13">
        <v>0</v>
      </c>
      <c r="I178" s="13">
        <v>0</v>
      </c>
      <c r="J178" s="13">
        <v>0</v>
      </c>
      <c r="K178" s="13">
        <v>50</v>
      </c>
      <c r="L178" s="13">
        <v>0</v>
      </c>
    </row>
    <row r="179" spans="1:14" ht="15.75" customHeight="1">
      <c r="N179" s="13">
        <f>AVERAGE(N2:N178)</f>
        <v>0.71610022347518021</v>
      </c>
    </row>
    <row r="180" spans="1:14" ht="15.75" customHeight="1"/>
    <row r="181" spans="1:14" ht="15.75" customHeight="1"/>
    <row r="182" spans="1:14" ht="15.75" customHeight="1"/>
    <row r="183" spans="1:14" ht="15.75" customHeight="1"/>
    <row r="184" spans="1:14" ht="15.75" customHeight="1"/>
    <row r="185" spans="1:14" ht="15.75" customHeight="1"/>
    <row r="186" spans="1:14" ht="15.75" customHeight="1"/>
    <row r="187" spans="1:14" ht="15.75" customHeight="1"/>
    <row r="188" spans="1:14" ht="15.75" customHeight="1"/>
    <row r="189" spans="1:14" ht="15.75" customHeight="1"/>
    <row r="190" spans="1:14" ht="15.75" customHeight="1"/>
    <row r="191" spans="1:14" ht="15.75" customHeight="1"/>
    <row r="192" spans="1:1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sheetViews>
  <sheetFormatPr baseColWidth="10" defaultColWidth="11.1640625" defaultRowHeight="15" customHeight="1"/>
  <cols>
    <col min="1" max="26" width="8.33203125" customWidth="1"/>
  </cols>
  <sheetData>
    <row r="1" spans="1:17" ht="15.75" customHeight="1">
      <c r="A1" s="25" t="s">
        <v>260</v>
      </c>
      <c r="B1" s="26" t="s">
        <v>261</v>
      </c>
      <c r="C1" s="26" t="s">
        <v>262</v>
      </c>
      <c r="D1" s="26" t="s">
        <v>263</v>
      </c>
      <c r="E1" s="26" t="s">
        <v>264</v>
      </c>
      <c r="F1" s="26" t="s">
        <v>265</v>
      </c>
      <c r="G1" s="27" t="s">
        <v>266</v>
      </c>
      <c r="H1" s="26" t="s">
        <v>267</v>
      </c>
      <c r="I1" s="26" t="s">
        <v>268</v>
      </c>
      <c r="J1" s="26" t="s">
        <v>269</v>
      </c>
      <c r="K1" s="26" t="s">
        <v>270</v>
      </c>
      <c r="L1" s="26" t="s">
        <v>271</v>
      </c>
      <c r="M1" s="26" t="s">
        <v>272</v>
      </c>
      <c r="N1" s="26" t="s">
        <v>273</v>
      </c>
      <c r="O1" s="26" t="s">
        <v>274</v>
      </c>
      <c r="P1" s="26" t="s">
        <v>275</v>
      </c>
      <c r="Q1" s="26" t="s">
        <v>276</v>
      </c>
    </row>
    <row r="2" spans="1:17" ht="15.75" customHeight="1">
      <c r="A2" s="28">
        <v>1</v>
      </c>
      <c r="B2" s="28" t="s">
        <v>2</v>
      </c>
      <c r="C2" s="5" t="s">
        <v>292</v>
      </c>
      <c r="D2" s="28" t="s">
        <v>293</v>
      </c>
      <c r="E2" s="28"/>
      <c r="F2" s="44" t="s">
        <v>281</v>
      </c>
      <c r="G2" s="45" t="s">
        <v>294</v>
      </c>
      <c r="H2" s="28"/>
      <c r="I2" s="28"/>
      <c r="J2" s="28"/>
      <c r="K2" s="28"/>
      <c r="L2" s="28"/>
      <c r="M2" s="28"/>
      <c r="N2" s="32"/>
      <c r="O2" s="28">
        <v>1</v>
      </c>
      <c r="P2" s="46"/>
      <c r="Q2" s="28">
        <v>1</v>
      </c>
    </row>
    <row r="3" spans="1:17" ht="15.75" customHeight="1">
      <c r="A3" s="28">
        <v>1</v>
      </c>
      <c r="B3" s="28" t="s">
        <v>2</v>
      </c>
      <c r="C3" s="5" t="s">
        <v>292</v>
      </c>
      <c r="D3" s="28" t="s">
        <v>293</v>
      </c>
      <c r="E3" s="28"/>
      <c r="F3" s="4" t="s">
        <v>284</v>
      </c>
      <c r="G3" s="45"/>
      <c r="H3" s="4">
        <v>341</v>
      </c>
      <c r="I3" s="4">
        <v>106</v>
      </c>
      <c r="J3" s="28">
        <v>447</v>
      </c>
      <c r="K3" s="28">
        <v>490</v>
      </c>
      <c r="L3" s="47">
        <v>0.69591836734693879</v>
      </c>
      <c r="M3" s="47">
        <v>0.76286353467561518</v>
      </c>
      <c r="N3" s="32">
        <v>0.72785485592315902</v>
      </c>
      <c r="O3" s="28"/>
      <c r="P3" s="46"/>
      <c r="Q3" s="28"/>
    </row>
    <row r="4" spans="1:17" ht="15.75" customHeight="1">
      <c r="A4" s="28">
        <v>1</v>
      </c>
      <c r="B4" s="28" t="s">
        <v>295</v>
      </c>
      <c r="C4" s="5" t="s">
        <v>292</v>
      </c>
      <c r="D4" s="28" t="s">
        <v>293</v>
      </c>
      <c r="E4" s="28"/>
      <c r="F4" s="48" t="s">
        <v>14</v>
      </c>
      <c r="G4" s="49" t="s">
        <v>296</v>
      </c>
      <c r="H4" s="4">
        <v>394</v>
      </c>
      <c r="I4" s="4">
        <v>241</v>
      </c>
      <c r="J4" s="28">
        <v>635</v>
      </c>
      <c r="K4" s="28">
        <v>490</v>
      </c>
      <c r="L4" s="47">
        <v>0.80408163265306121</v>
      </c>
      <c r="M4" s="47">
        <v>0.62047244094488185</v>
      </c>
      <c r="N4" s="32">
        <v>0.70044444444444443</v>
      </c>
      <c r="O4" s="4">
        <v>2</v>
      </c>
      <c r="P4" s="50"/>
      <c r="Q4" s="4">
        <v>2</v>
      </c>
    </row>
    <row r="5" spans="1:17" ht="15.75" customHeight="1">
      <c r="A5" s="4">
        <v>1</v>
      </c>
      <c r="B5" s="28" t="s">
        <v>295</v>
      </c>
      <c r="C5" s="5" t="s">
        <v>292</v>
      </c>
      <c r="D5" s="28" t="s">
        <v>293</v>
      </c>
      <c r="E5" s="28"/>
      <c r="F5" s="51" t="s">
        <v>27</v>
      </c>
      <c r="G5" s="49" t="s">
        <v>297</v>
      </c>
      <c r="H5" s="4">
        <v>235</v>
      </c>
      <c r="I5" s="4">
        <v>303</v>
      </c>
      <c r="J5" s="28">
        <v>538</v>
      </c>
      <c r="K5" s="28">
        <v>490</v>
      </c>
      <c r="L5" s="47">
        <v>0.47959183673469385</v>
      </c>
      <c r="M5" s="47">
        <v>0.43680297397769519</v>
      </c>
      <c r="N5" s="32">
        <v>0.45719844357976652</v>
      </c>
      <c r="O5" s="4">
        <v>2</v>
      </c>
      <c r="P5" s="46"/>
      <c r="Q5" s="4">
        <v>2</v>
      </c>
    </row>
    <row r="6" spans="1:17" ht="15.75" customHeight="1">
      <c r="A6" s="28">
        <v>1</v>
      </c>
      <c r="B6" s="28" t="s">
        <v>295</v>
      </c>
      <c r="C6" s="5" t="s">
        <v>292</v>
      </c>
      <c r="D6" s="28" t="s">
        <v>293</v>
      </c>
      <c r="E6" s="28"/>
      <c r="F6" s="52" t="s">
        <v>30</v>
      </c>
      <c r="G6" s="49" t="s">
        <v>298</v>
      </c>
      <c r="H6" s="4">
        <v>229</v>
      </c>
      <c r="I6" s="4">
        <v>81</v>
      </c>
      <c r="J6" s="28">
        <v>310</v>
      </c>
      <c r="K6" s="28">
        <v>490</v>
      </c>
      <c r="L6" s="47">
        <v>0.4673469387755102</v>
      </c>
      <c r="M6" s="47">
        <v>0.73870967741935489</v>
      </c>
      <c r="N6" s="32">
        <v>0.57250000000000001</v>
      </c>
      <c r="O6" s="4">
        <v>2</v>
      </c>
      <c r="P6" s="29"/>
      <c r="Q6" s="4">
        <v>2</v>
      </c>
    </row>
    <row r="7" spans="1:17" ht="15.75" customHeight="1">
      <c r="A7" s="4">
        <v>1</v>
      </c>
      <c r="B7" s="28" t="s">
        <v>295</v>
      </c>
      <c r="C7" s="5" t="s">
        <v>292</v>
      </c>
      <c r="D7" s="28" t="s">
        <v>293</v>
      </c>
      <c r="E7" s="28"/>
      <c r="F7" s="5" t="s">
        <v>19</v>
      </c>
      <c r="G7" s="49" t="s">
        <v>299</v>
      </c>
      <c r="H7" s="4">
        <v>429</v>
      </c>
      <c r="I7" s="4">
        <v>301</v>
      </c>
      <c r="J7" s="28">
        <v>730</v>
      </c>
      <c r="K7" s="28">
        <v>490</v>
      </c>
      <c r="L7" s="47">
        <v>0.8755102040816326</v>
      </c>
      <c r="M7" s="47">
        <v>0.5876712328767123</v>
      </c>
      <c r="N7" s="32">
        <v>0.70327868852459019</v>
      </c>
      <c r="O7" s="4">
        <v>3</v>
      </c>
      <c r="P7" s="50"/>
      <c r="Q7" s="4">
        <v>3</v>
      </c>
    </row>
    <row r="8" spans="1:17" ht="15.75" customHeight="1">
      <c r="A8" s="28">
        <v>1</v>
      </c>
      <c r="B8" s="28" t="s">
        <v>2</v>
      </c>
      <c r="C8" s="5" t="s">
        <v>292</v>
      </c>
      <c r="D8" s="28" t="s">
        <v>293</v>
      </c>
      <c r="E8" s="28"/>
      <c r="F8" s="53" t="s">
        <v>10</v>
      </c>
      <c r="G8" s="45" t="s">
        <v>300</v>
      </c>
      <c r="H8" s="28">
        <v>411</v>
      </c>
      <c r="I8" s="28">
        <v>109</v>
      </c>
      <c r="J8" s="28">
        <v>520</v>
      </c>
      <c r="K8" s="28">
        <v>490</v>
      </c>
      <c r="L8" s="47">
        <v>0.83877551020408159</v>
      </c>
      <c r="M8" s="47">
        <v>0.79038461538461535</v>
      </c>
      <c r="N8" s="32">
        <v>0.81386138613861381</v>
      </c>
      <c r="O8" s="28">
        <v>4</v>
      </c>
      <c r="P8" s="46"/>
      <c r="Q8" s="4">
        <v>4</v>
      </c>
    </row>
    <row r="9" spans="1:17" ht="15.75" customHeight="1">
      <c r="A9" s="4">
        <v>1</v>
      </c>
      <c r="B9" s="28" t="s">
        <v>2</v>
      </c>
      <c r="C9" s="5" t="s">
        <v>292</v>
      </c>
      <c r="D9" s="28" t="s">
        <v>293</v>
      </c>
      <c r="E9" s="28"/>
      <c r="F9" s="54" t="s">
        <v>13</v>
      </c>
      <c r="G9" s="49" t="s">
        <v>301</v>
      </c>
      <c r="H9" s="28"/>
      <c r="I9" s="28"/>
      <c r="J9" s="28">
        <v>0</v>
      </c>
      <c r="K9" s="28">
        <v>490</v>
      </c>
      <c r="L9" s="47">
        <v>0</v>
      </c>
      <c r="M9" s="47" t="s">
        <v>381</v>
      </c>
      <c r="N9" s="32"/>
      <c r="O9" s="4">
        <v>4</v>
      </c>
      <c r="P9" s="55"/>
      <c r="Q9" s="4">
        <v>4</v>
      </c>
    </row>
    <row r="10" spans="1:17" ht="15.75" customHeight="1">
      <c r="A10" s="4">
        <v>1</v>
      </c>
      <c r="B10" s="28" t="s">
        <v>2</v>
      </c>
      <c r="C10" s="5" t="s">
        <v>292</v>
      </c>
      <c r="D10" s="28" t="s">
        <v>293</v>
      </c>
      <c r="E10" s="28"/>
      <c r="F10" s="54" t="s">
        <v>13</v>
      </c>
      <c r="G10" s="49" t="s">
        <v>302</v>
      </c>
      <c r="H10" s="28">
        <v>325</v>
      </c>
      <c r="I10" s="28">
        <v>327</v>
      </c>
      <c r="J10" s="28">
        <v>652</v>
      </c>
      <c r="K10" s="28">
        <v>490</v>
      </c>
      <c r="L10" s="47">
        <v>0.66326530612244894</v>
      </c>
      <c r="M10" s="47">
        <v>0.49846625766871167</v>
      </c>
      <c r="N10" s="32">
        <v>0.56917688266199651</v>
      </c>
      <c r="O10" s="4">
        <v>4</v>
      </c>
      <c r="P10" s="55"/>
      <c r="Q10" s="4">
        <v>4</v>
      </c>
    </row>
    <row r="11" spans="1:17" ht="15.75" customHeight="1">
      <c r="A11" s="4">
        <v>1</v>
      </c>
      <c r="B11" s="28" t="s">
        <v>295</v>
      </c>
      <c r="C11" s="5" t="s">
        <v>292</v>
      </c>
      <c r="D11" s="28" t="s">
        <v>293</v>
      </c>
      <c r="E11" s="28"/>
      <c r="F11" s="56" t="s">
        <v>16</v>
      </c>
      <c r="G11" s="49" t="s">
        <v>303</v>
      </c>
      <c r="H11" s="4">
        <v>157</v>
      </c>
      <c r="I11" s="4">
        <v>1471</v>
      </c>
      <c r="J11" s="28">
        <v>1628</v>
      </c>
      <c r="K11" s="28">
        <v>490</v>
      </c>
      <c r="L11" s="47">
        <v>0.32040816326530613</v>
      </c>
      <c r="M11" s="47">
        <v>9.6437346437346444E-2</v>
      </c>
      <c r="N11" s="32">
        <v>0.14825306893295565</v>
      </c>
      <c r="O11" s="4">
        <v>10</v>
      </c>
      <c r="P11" s="46"/>
      <c r="Q11" s="4">
        <v>5</v>
      </c>
    </row>
    <row r="12" spans="1:17" ht="15.75" customHeight="1">
      <c r="A12" s="28">
        <v>1</v>
      </c>
      <c r="B12" s="28" t="s">
        <v>295</v>
      </c>
      <c r="C12" s="5" t="s">
        <v>292</v>
      </c>
      <c r="D12" s="28" t="s">
        <v>293</v>
      </c>
      <c r="E12" s="28"/>
      <c r="F12" s="57" t="s">
        <v>26</v>
      </c>
      <c r="G12" s="49" t="s">
        <v>304</v>
      </c>
      <c r="H12" s="4">
        <v>226</v>
      </c>
      <c r="I12" s="4">
        <v>1328</v>
      </c>
      <c r="J12" s="28">
        <v>1554</v>
      </c>
      <c r="K12" s="28">
        <v>490</v>
      </c>
      <c r="L12" s="47">
        <v>0.46122448979591835</v>
      </c>
      <c r="M12" s="47">
        <v>0.14543114543114544</v>
      </c>
      <c r="N12" s="32">
        <v>0.22113502935420745</v>
      </c>
      <c r="O12" s="4">
        <v>10</v>
      </c>
      <c r="P12" s="5"/>
      <c r="Q12" s="4">
        <v>5</v>
      </c>
    </row>
    <row r="13" spans="1:17" ht="15.75" customHeight="1">
      <c r="A13" s="28">
        <v>1</v>
      </c>
      <c r="B13" s="28" t="s">
        <v>295</v>
      </c>
      <c r="C13" s="5" t="s">
        <v>292</v>
      </c>
      <c r="D13" s="28" t="s">
        <v>293</v>
      </c>
      <c r="E13" s="28"/>
      <c r="F13" s="58" t="s">
        <v>17</v>
      </c>
      <c r="G13" s="49" t="s">
        <v>305</v>
      </c>
      <c r="H13" s="4">
        <v>97</v>
      </c>
      <c r="I13" s="4">
        <v>58</v>
      </c>
      <c r="J13" s="28">
        <v>155</v>
      </c>
      <c r="K13" s="28">
        <v>490</v>
      </c>
      <c r="L13" s="47">
        <v>0.19795918367346937</v>
      </c>
      <c r="M13" s="47">
        <v>0.62580645161290327</v>
      </c>
      <c r="N13" s="32">
        <v>0.30077519379844958</v>
      </c>
      <c r="O13" s="4">
        <v>11</v>
      </c>
      <c r="P13" s="5"/>
      <c r="Q13" s="4">
        <v>6</v>
      </c>
    </row>
    <row r="14" spans="1:17" ht="15.75" customHeight="1">
      <c r="A14" s="28">
        <v>1</v>
      </c>
      <c r="B14" s="28" t="s">
        <v>295</v>
      </c>
      <c r="C14" s="5" t="s">
        <v>292</v>
      </c>
      <c r="D14" s="28" t="s">
        <v>293</v>
      </c>
      <c r="E14" s="28"/>
      <c r="F14" s="52" t="s">
        <v>28</v>
      </c>
      <c r="G14" s="45" t="s">
        <v>306</v>
      </c>
      <c r="H14" s="4">
        <v>188</v>
      </c>
      <c r="I14" s="4">
        <v>21</v>
      </c>
      <c r="J14" s="28">
        <v>209</v>
      </c>
      <c r="K14" s="28">
        <v>490</v>
      </c>
      <c r="L14" s="47">
        <v>0.3836734693877551</v>
      </c>
      <c r="M14" s="47">
        <v>0.8995215311004785</v>
      </c>
      <c r="N14" s="32">
        <v>0.53791130185979974</v>
      </c>
      <c r="O14" s="4">
        <v>15</v>
      </c>
      <c r="P14" s="50"/>
      <c r="Q14" s="4">
        <v>7</v>
      </c>
    </row>
    <row r="15" spans="1:17" ht="15.75" customHeight="1">
      <c r="A15" s="28">
        <v>1</v>
      </c>
      <c r="B15" s="28" t="s">
        <v>295</v>
      </c>
      <c r="C15" s="5" t="s">
        <v>292</v>
      </c>
      <c r="D15" s="28" t="s">
        <v>293</v>
      </c>
      <c r="E15" s="28"/>
      <c r="F15" s="59" t="s">
        <v>32</v>
      </c>
      <c r="G15" s="45" t="s">
        <v>307</v>
      </c>
      <c r="H15" s="4">
        <v>375</v>
      </c>
      <c r="I15" s="4">
        <v>711</v>
      </c>
      <c r="J15" s="28">
        <v>1086</v>
      </c>
      <c r="K15" s="28">
        <v>490</v>
      </c>
      <c r="L15" s="47">
        <v>0.76530612244897955</v>
      </c>
      <c r="M15" s="47">
        <v>0.34530386740331492</v>
      </c>
      <c r="N15" s="32">
        <v>0.4758883248730964</v>
      </c>
      <c r="O15" s="4">
        <v>15</v>
      </c>
      <c r="P15" s="5"/>
      <c r="Q15" s="4">
        <v>7</v>
      </c>
    </row>
    <row r="16" spans="1:17" ht="15.75" customHeight="1">
      <c r="A16" s="28">
        <v>1</v>
      </c>
      <c r="B16" s="28" t="s">
        <v>295</v>
      </c>
      <c r="C16" s="5" t="s">
        <v>292</v>
      </c>
      <c r="D16" s="28" t="s">
        <v>293</v>
      </c>
      <c r="E16" s="28"/>
      <c r="F16" s="60" t="s">
        <v>22</v>
      </c>
      <c r="G16" s="49" t="s">
        <v>308</v>
      </c>
      <c r="H16" s="4">
        <v>196</v>
      </c>
      <c r="I16" s="4">
        <v>911</v>
      </c>
      <c r="J16" s="28">
        <v>1107</v>
      </c>
      <c r="K16" s="28">
        <v>490</v>
      </c>
      <c r="L16" s="47">
        <v>0.4</v>
      </c>
      <c r="M16" s="47">
        <v>0.17705510388437218</v>
      </c>
      <c r="N16" s="32">
        <v>0.24546023794614902</v>
      </c>
      <c r="O16" s="4">
        <v>20</v>
      </c>
      <c r="P16" s="50"/>
      <c r="Q16" s="4">
        <v>8</v>
      </c>
    </row>
    <row r="17" spans="1:17" ht="15.75" customHeight="1">
      <c r="A17" s="4">
        <v>1</v>
      </c>
      <c r="B17" s="28" t="s">
        <v>295</v>
      </c>
      <c r="C17" s="5" t="s">
        <v>292</v>
      </c>
      <c r="D17" s="28" t="s">
        <v>293</v>
      </c>
      <c r="E17" s="28"/>
      <c r="F17" s="61" t="s">
        <v>23</v>
      </c>
      <c r="G17" s="49" t="s">
        <v>309</v>
      </c>
      <c r="H17" s="4">
        <v>270</v>
      </c>
      <c r="I17" s="4">
        <v>8</v>
      </c>
      <c r="J17" s="28">
        <v>278</v>
      </c>
      <c r="K17" s="28">
        <v>490</v>
      </c>
      <c r="L17" s="47">
        <v>0.55102040816326525</v>
      </c>
      <c r="M17" s="47">
        <v>0.97122302158273377</v>
      </c>
      <c r="N17" s="32">
        <v>0.703125</v>
      </c>
      <c r="O17" s="4">
        <v>25</v>
      </c>
      <c r="P17" s="5"/>
      <c r="Q17" s="4">
        <v>9</v>
      </c>
    </row>
    <row r="18" spans="1:17" ht="15.75" customHeight="1">
      <c r="A18" s="4">
        <v>1</v>
      </c>
      <c r="B18" s="28" t="s">
        <v>295</v>
      </c>
      <c r="C18" s="5" t="s">
        <v>292</v>
      </c>
      <c r="D18" s="28" t="s">
        <v>293</v>
      </c>
      <c r="E18" s="28"/>
      <c r="F18" s="62" t="s">
        <v>29</v>
      </c>
      <c r="G18" s="49" t="s">
        <v>310</v>
      </c>
      <c r="H18" s="4">
        <v>246</v>
      </c>
      <c r="I18" s="4">
        <v>56</v>
      </c>
      <c r="J18" s="28">
        <v>302</v>
      </c>
      <c r="K18" s="28">
        <v>490</v>
      </c>
      <c r="L18" s="47">
        <v>0.50204081632653064</v>
      </c>
      <c r="M18" s="47">
        <v>0.81456953642384111</v>
      </c>
      <c r="N18" s="32">
        <v>0.62121212121212122</v>
      </c>
      <c r="O18" s="4">
        <v>25</v>
      </c>
      <c r="P18" s="50"/>
      <c r="Q18" s="4">
        <v>9</v>
      </c>
    </row>
    <row r="19" spans="1:17" ht="15.75" customHeight="1">
      <c r="A19" s="4">
        <v>1</v>
      </c>
      <c r="B19" s="28" t="s">
        <v>295</v>
      </c>
      <c r="C19" s="5" t="s">
        <v>292</v>
      </c>
      <c r="D19" s="28" t="s">
        <v>293</v>
      </c>
      <c r="E19" s="28"/>
      <c r="F19" s="63" t="s">
        <v>31</v>
      </c>
      <c r="G19" s="49" t="s">
        <v>311</v>
      </c>
      <c r="H19" s="4">
        <v>319</v>
      </c>
      <c r="I19" s="4">
        <v>390</v>
      </c>
      <c r="J19" s="28">
        <v>709</v>
      </c>
      <c r="K19" s="28">
        <v>490</v>
      </c>
      <c r="L19" s="47">
        <v>0.65102040816326534</v>
      </c>
      <c r="M19" s="47">
        <v>0.44992947813822287</v>
      </c>
      <c r="N19" s="32">
        <v>0.5321100917431193</v>
      </c>
      <c r="O19" s="4">
        <v>25</v>
      </c>
      <c r="P19" s="5"/>
      <c r="Q19" s="4">
        <v>9</v>
      </c>
    </row>
    <row r="20" spans="1:17" ht="15.75" customHeight="1">
      <c r="A20" s="4">
        <v>1</v>
      </c>
      <c r="B20" s="28" t="s">
        <v>295</v>
      </c>
      <c r="C20" s="5" t="s">
        <v>292</v>
      </c>
      <c r="D20" s="28" t="s">
        <v>293</v>
      </c>
      <c r="E20" s="28"/>
      <c r="F20" s="64" t="s">
        <v>21</v>
      </c>
      <c r="G20" s="49" t="s">
        <v>312</v>
      </c>
      <c r="H20" s="4">
        <v>145</v>
      </c>
      <c r="I20" s="4">
        <v>435</v>
      </c>
      <c r="J20" s="28">
        <v>580</v>
      </c>
      <c r="K20" s="28">
        <v>490</v>
      </c>
      <c r="L20" s="47">
        <v>0.29591836734693877</v>
      </c>
      <c r="M20" s="47">
        <v>0.25</v>
      </c>
      <c r="N20" s="32">
        <v>0.27102803738317754</v>
      </c>
      <c r="O20" s="4">
        <v>30</v>
      </c>
      <c r="P20" s="5"/>
      <c r="Q20" s="4">
        <v>10</v>
      </c>
    </row>
    <row r="21" spans="1:17" ht="15.75" customHeight="1">
      <c r="A21" s="4">
        <v>1</v>
      </c>
      <c r="B21" s="28" t="s">
        <v>295</v>
      </c>
      <c r="C21" s="5" t="s">
        <v>292</v>
      </c>
      <c r="D21" s="28" t="s">
        <v>293</v>
      </c>
      <c r="E21" s="28"/>
      <c r="F21" s="65" t="s">
        <v>25</v>
      </c>
      <c r="G21" s="49" t="s">
        <v>313</v>
      </c>
      <c r="H21" s="4">
        <v>315</v>
      </c>
      <c r="I21" s="4">
        <v>283</v>
      </c>
      <c r="J21" s="28">
        <v>598</v>
      </c>
      <c r="K21" s="28">
        <v>490</v>
      </c>
      <c r="L21" s="47">
        <v>0.6428571428571429</v>
      </c>
      <c r="M21" s="47">
        <v>0.52675585284280935</v>
      </c>
      <c r="N21" s="32">
        <v>0.57904411764705888</v>
      </c>
      <c r="O21" s="4">
        <v>30</v>
      </c>
      <c r="P21" s="5"/>
      <c r="Q21" s="4">
        <v>10</v>
      </c>
    </row>
    <row r="22" spans="1:17" ht="15.75" customHeight="1">
      <c r="A22" s="4">
        <v>1</v>
      </c>
      <c r="B22" s="28" t="s">
        <v>295</v>
      </c>
      <c r="C22" s="5" t="s">
        <v>292</v>
      </c>
      <c r="D22" s="28" t="s">
        <v>293</v>
      </c>
      <c r="E22" s="28"/>
      <c r="F22" s="59" t="s">
        <v>35</v>
      </c>
      <c r="G22" s="45" t="s">
        <v>307</v>
      </c>
      <c r="H22" s="4">
        <v>273</v>
      </c>
      <c r="I22" s="4">
        <v>296</v>
      </c>
      <c r="J22" s="28">
        <v>569</v>
      </c>
      <c r="K22" s="28">
        <v>490</v>
      </c>
      <c r="L22" s="47">
        <v>0.55714285714285716</v>
      </c>
      <c r="M22" s="47">
        <v>0.47978910369068539</v>
      </c>
      <c r="N22" s="32">
        <v>0.51558073654390935</v>
      </c>
      <c r="O22" s="4">
        <v>30</v>
      </c>
      <c r="P22" s="5"/>
      <c r="Q22" s="4">
        <v>10</v>
      </c>
    </row>
    <row r="23" spans="1:17" ht="15.75" customHeight="1">
      <c r="A23" s="28">
        <v>1</v>
      </c>
      <c r="B23" s="28" t="s">
        <v>295</v>
      </c>
      <c r="C23" s="5" t="s">
        <v>292</v>
      </c>
      <c r="D23" s="28" t="s">
        <v>293</v>
      </c>
      <c r="E23" s="28"/>
      <c r="F23" s="66" t="s">
        <v>37</v>
      </c>
      <c r="G23" s="45" t="s">
        <v>314</v>
      </c>
      <c r="H23" s="4">
        <v>274</v>
      </c>
      <c r="I23" s="4">
        <v>16</v>
      </c>
      <c r="J23" s="28">
        <v>290</v>
      </c>
      <c r="K23" s="28">
        <v>490</v>
      </c>
      <c r="L23" s="47">
        <v>0.5591836734693878</v>
      </c>
      <c r="M23" s="47">
        <v>0.94482758620689655</v>
      </c>
      <c r="N23" s="32">
        <v>0.70256410256410262</v>
      </c>
      <c r="O23" s="4">
        <v>45</v>
      </c>
      <c r="P23" s="5"/>
      <c r="Q23" s="4">
        <v>11</v>
      </c>
    </row>
    <row r="24" spans="1:17" ht="15.75" customHeight="1">
      <c r="A24" s="28">
        <v>1</v>
      </c>
      <c r="B24" s="28" t="s">
        <v>295</v>
      </c>
      <c r="C24" s="5" t="s">
        <v>292</v>
      </c>
      <c r="D24" s="28" t="s">
        <v>293</v>
      </c>
      <c r="E24" s="28"/>
      <c r="F24" s="67" t="s">
        <v>24</v>
      </c>
      <c r="G24" s="49"/>
      <c r="H24" s="4">
        <v>318</v>
      </c>
      <c r="I24" s="4">
        <v>334</v>
      </c>
      <c r="J24" s="28">
        <v>652</v>
      </c>
      <c r="K24" s="28">
        <v>490</v>
      </c>
      <c r="L24" s="47">
        <v>0.6489795918367347</v>
      </c>
      <c r="M24" s="47">
        <v>0.48773006134969327</v>
      </c>
      <c r="N24" s="32">
        <v>0.55691768826619958</v>
      </c>
      <c r="O24" s="4">
        <v>60</v>
      </c>
      <c r="P24" s="5"/>
      <c r="Q24" s="4">
        <v>12</v>
      </c>
    </row>
    <row r="25" spans="1:17" ht="15.75" customHeight="1">
      <c r="A25" s="4">
        <v>1</v>
      </c>
      <c r="B25" s="28" t="s">
        <v>295</v>
      </c>
      <c r="C25" s="5" t="s">
        <v>292</v>
      </c>
      <c r="D25" s="28" t="s">
        <v>293</v>
      </c>
      <c r="E25" s="28"/>
      <c r="F25" s="59" t="s">
        <v>42</v>
      </c>
      <c r="G25" s="45" t="s">
        <v>307</v>
      </c>
      <c r="H25" s="4">
        <v>291</v>
      </c>
      <c r="I25" s="4">
        <v>1185</v>
      </c>
      <c r="J25" s="28">
        <v>1476</v>
      </c>
      <c r="K25" s="28">
        <v>490</v>
      </c>
      <c r="L25" s="47">
        <v>0.59387755102040818</v>
      </c>
      <c r="M25" s="47">
        <v>0.19715447154471544</v>
      </c>
      <c r="N25" s="32">
        <v>0.29603255340793488</v>
      </c>
      <c r="O25" s="4">
        <v>65</v>
      </c>
      <c r="P25" s="5"/>
      <c r="Q25" s="4">
        <v>13</v>
      </c>
    </row>
    <row r="26" spans="1:17" ht="15.75" customHeight="1">
      <c r="A26" s="4">
        <v>1</v>
      </c>
      <c r="B26" s="28" t="s">
        <v>295</v>
      </c>
      <c r="C26" s="5" t="s">
        <v>292</v>
      </c>
      <c r="D26" s="28" t="s">
        <v>293</v>
      </c>
      <c r="E26" s="28"/>
      <c r="F26" s="66" t="s">
        <v>39</v>
      </c>
      <c r="G26" s="45" t="s">
        <v>314</v>
      </c>
      <c r="H26" s="4">
        <v>216</v>
      </c>
      <c r="I26" s="4">
        <v>24</v>
      </c>
      <c r="J26" s="28">
        <v>240</v>
      </c>
      <c r="K26" s="28">
        <v>490</v>
      </c>
      <c r="L26" s="47">
        <v>0.44081632653061226</v>
      </c>
      <c r="M26" s="47">
        <v>0.9</v>
      </c>
      <c r="N26" s="32">
        <v>0.59178082191780823</v>
      </c>
      <c r="O26" s="4">
        <v>70</v>
      </c>
      <c r="P26" s="5"/>
      <c r="Q26" s="4">
        <v>14</v>
      </c>
    </row>
    <row r="27" spans="1:17" ht="15.75" customHeight="1">
      <c r="A27" s="28">
        <v>1</v>
      </c>
      <c r="B27" s="28" t="s">
        <v>295</v>
      </c>
      <c r="C27" s="5" t="s">
        <v>292</v>
      </c>
      <c r="D27" s="28" t="s">
        <v>293</v>
      </c>
      <c r="E27" s="28"/>
      <c r="F27" s="66" t="s">
        <v>40</v>
      </c>
      <c r="G27" s="45" t="s">
        <v>314</v>
      </c>
      <c r="H27" s="4">
        <v>262</v>
      </c>
      <c r="I27" s="4">
        <v>34</v>
      </c>
      <c r="J27" s="28">
        <v>296</v>
      </c>
      <c r="K27" s="28">
        <v>490</v>
      </c>
      <c r="L27" s="47">
        <v>0.53469387755102038</v>
      </c>
      <c r="M27" s="47">
        <v>0.88513513513513509</v>
      </c>
      <c r="N27" s="32">
        <v>0.66666666666666663</v>
      </c>
      <c r="O27" s="4">
        <v>70</v>
      </c>
      <c r="P27" s="5"/>
      <c r="Q27" s="4">
        <v>14</v>
      </c>
    </row>
    <row r="28" spans="1:17" ht="15.75" customHeight="1">
      <c r="A28" s="28">
        <v>1</v>
      </c>
      <c r="B28" s="28" t="s">
        <v>295</v>
      </c>
      <c r="C28" s="5" t="s">
        <v>292</v>
      </c>
      <c r="D28" s="28" t="s">
        <v>293</v>
      </c>
      <c r="E28" s="28"/>
      <c r="F28" s="5" t="s">
        <v>315</v>
      </c>
      <c r="G28" s="49"/>
      <c r="H28" s="4"/>
      <c r="I28" s="4"/>
      <c r="J28" s="28">
        <v>0</v>
      </c>
      <c r="K28" s="28">
        <v>490</v>
      </c>
      <c r="L28" s="47">
        <v>0</v>
      </c>
      <c r="M28" s="47" t="s">
        <v>381</v>
      </c>
      <c r="N28" s="32"/>
      <c r="O28" s="4"/>
      <c r="P28" s="46"/>
    </row>
    <row r="29" spans="1:17" ht="15.75" customHeight="1">
      <c r="A29" s="28">
        <v>2</v>
      </c>
      <c r="B29" s="68" t="s">
        <v>47</v>
      </c>
      <c r="C29" s="5" t="s">
        <v>327</v>
      </c>
      <c r="D29" s="4" t="s">
        <v>328</v>
      </c>
      <c r="E29" s="233" t="s">
        <v>329</v>
      </c>
      <c r="F29" s="69" t="s">
        <v>317</v>
      </c>
      <c r="G29" s="49" t="s">
        <v>318</v>
      </c>
      <c r="H29" s="4">
        <v>78</v>
      </c>
      <c r="I29" s="4">
        <v>80</v>
      </c>
      <c r="J29" s="4">
        <v>158</v>
      </c>
      <c r="K29" s="4">
        <v>80</v>
      </c>
      <c r="L29" s="70">
        <v>0.97499999999999998</v>
      </c>
      <c r="M29" s="71">
        <v>0.49367088607594939</v>
      </c>
      <c r="N29" s="32"/>
      <c r="O29" s="4">
        <v>1</v>
      </c>
      <c r="P29" s="5">
        <v>39</v>
      </c>
      <c r="Q29" s="4">
        <v>1</v>
      </c>
    </row>
    <row r="30" spans="1:17" ht="15.75" customHeight="1">
      <c r="A30" s="28">
        <v>2</v>
      </c>
      <c r="B30" s="13" t="s">
        <v>47</v>
      </c>
      <c r="C30" s="5" t="s">
        <v>327</v>
      </c>
      <c r="D30" s="4" t="s">
        <v>328</v>
      </c>
      <c r="E30" s="229"/>
      <c r="F30" s="44" t="s">
        <v>281</v>
      </c>
      <c r="G30" s="49" t="s">
        <v>319</v>
      </c>
      <c r="H30" s="4">
        <v>38</v>
      </c>
      <c r="I30" s="4">
        <v>10</v>
      </c>
      <c r="J30" s="4">
        <v>48</v>
      </c>
      <c r="K30" s="4">
        <v>80</v>
      </c>
      <c r="L30" s="70">
        <v>0.47499999999999998</v>
      </c>
      <c r="M30" s="71">
        <v>0.79166666666666663</v>
      </c>
      <c r="N30" s="32"/>
      <c r="O30" s="4">
        <v>2</v>
      </c>
      <c r="P30" s="5">
        <v>40</v>
      </c>
      <c r="Q30" s="4">
        <v>2</v>
      </c>
    </row>
    <row r="31" spans="1:17" ht="15.75" customHeight="1">
      <c r="A31" s="28">
        <v>2</v>
      </c>
      <c r="B31" s="13" t="s">
        <v>47</v>
      </c>
      <c r="C31" s="5" t="s">
        <v>327</v>
      </c>
      <c r="D31" s="4" t="s">
        <v>328</v>
      </c>
      <c r="E31" s="229"/>
      <c r="F31" s="72" t="s">
        <v>320</v>
      </c>
      <c r="G31" s="49" t="s">
        <v>318</v>
      </c>
      <c r="H31" s="4">
        <v>42</v>
      </c>
      <c r="I31" s="4">
        <v>200</v>
      </c>
      <c r="J31" s="4">
        <v>242</v>
      </c>
      <c r="K31" s="4">
        <v>80</v>
      </c>
      <c r="L31" s="70">
        <v>0.52500000000000002</v>
      </c>
      <c r="M31" s="71">
        <v>0.17355371900826447</v>
      </c>
      <c r="N31" s="32"/>
      <c r="O31" s="4">
        <v>20</v>
      </c>
      <c r="P31" s="5">
        <v>28</v>
      </c>
      <c r="Q31" s="4">
        <v>3</v>
      </c>
    </row>
    <row r="32" spans="1:17" ht="15.75" customHeight="1">
      <c r="A32" s="28">
        <v>2</v>
      </c>
      <c r="B32" s="13" t="s">
        <v>47</v>
      </c>
      <c r="C32" s="5" t="s">
        <v>327</v>
      </c>
      <c r="D32" s="4" t="s">
        <v>328</v>
      </c>
      <c r="E32" s="229"/>
      <c r="F32" s="73" t="s">
        <v>321</v>
      </c>
      <c r="G32" s="49" t="s">
        <v>322</v>
      </c>
      <c r="H32" s="4">
        <v>70</v>
      </c>
      <c r="I32" s="4">
        <v>280</v>
      </c>
      <c r="J32" s="4">
        <v>350</v>
      </c>
      <c r="K32" s="4">
        <v>80</v>
      </c>
      <c r="L32" s="70">
        <v>0.875</v>
      </c>
      <c r="M32" s="71">
        <v>0.2</v>
      </c>
      <c r="N32" s="32"/>
      <c r="O32" s="4">
        <v>25</v>
      </c>
      <c r="P32" s="5">
        <v>5</v>
      </c>
      <c r="Q32" s="4">
        <v>4</v>
      </c>
    </row>
    <row r="33" spans="1:17" ht="15.75" customHeight="1">
      <c r="A33" s="28">
        <v>2</v>
      </c>
      <c r="B33" s="13" t="s">
        <v>47</v>
      </c>
      <c r="C33" s="5" t="s">
        <v>327</v>
      </c>
      <c r="D33" s="4" t="s">
        <v>328</v>
      </c>
      <c r="E33" s="229"/>
      <c r="F33" s="74" t="s">
        <v>24</v>
      </c>
      <c r="G33" s="49" t="s">
        <v>323</v>
      </c>
      <c r="H33" s="4">
        <v>60</v>
      </c>
      <c r="I33" s="4">
        <v>350</v>
      </c>
      <c r="J33" s="4">
        <v>410</v>
      </c>
      <c r="K33" s="4">
        <v>80</v>
      </c>
      <c r="L33" s="70">
        <v>0.75</v>
      </c>
      <c r="M33" s="71">
        <v>0.14634146341463414</v>
      </c>
      <c r="N33" s="32"/>
      <c r="O33" s="4">
        <v>48</v>
      </c>
      <c r="P33" s="5">
        <v>8</v>
      </c>
      <c r="Q33" s="4">
        <v>5</v>
      </c>
    </row>
    <row r="34" spans="1:17" ht="15.75" customHeight="1">
      <c r="A34" s="28">
        <v>2</v>
      </c>
      <c r="B34" s="13" t="s">
        <v>47</v>
      </c>
      <c r="C34" s="5" t="s">
        <v>327</v>
      </c>
      <c r="D34" s="4" t="s">
        <v>328</v>
      </c>
      <c r="E34" s="229"/>
      <c r="F34" s="76" t="s">
        <v>28</v>
      </c>
      <c r="G34" s="49" t="s">
        <v>306</v>
      </c>
      <c r="H34" s="4"/>
      <c r="I34" s="4"/>
      <c r="J34" s="4"/>
      <c r="K34" s="4">
        <v>80</v>
      </c>
      <c r="L34" s="70"/>
      <c r="M34" s="71"/>
      <c r="N34" s="32"/>
      <c r="O34" s="4">
        <v>50</v>
      </c>
      <c r="P34" s="5">
        <v>18</v>
      </c>
      <c r="Q34" s="4">
        <v>6</v>
      </c>
    </row>
    <row r="35" spans="1:17" ht="15.75" customHeight="1">
      <c r="A35" s="28">
        <v>2</v>
      </c>
      <c r="B35" s="13" t="s">
        <v>47</v>
      </c>
      <c r="C35" s="5" t="s">
        <v>327</v>
      </c>
      <c r="D35" s="4" t="s">
        <v>328</v>
      </c>
      <c r="E35" s="232"/>
      <c r="F35" s="75" t="s">
        <v>98</v>
      </c>
      <c r="G35" s="49" t="s">
        <v>324</v>
      </c>
      <c r="H35" s="4">
        <v>44</v>
      </c>
      <c r="I35" s="4">
        <v>280</v>
      </c>
      <c r="J35" s="4">
        <v>324</v>
      </c>
      <c r="K35" s="4">
        <v>80</v>
      </c>
      <c r="L35" s="70">
        <v>0.55000000000000004</v>
      </c>
      <c r="M35" s="71">
        <v>0.13580246913580246</v>
      </c>
      <c r="N35" s="32"/>
      <c r="O35" s="4">
        <v>148</v>
      </c>
      <c r="P35" s="5">
        <v>10</v>
      </c>
      <c r="Q35" s="4">
        <v>7</v>
      </c>
    </row>
    <row r="36" spans="1:17" ht="15.75" customHeight="1">
      <c r="A36" s="28">
        <v>2</v>
      </c>
      <c r="B36" s="68" t="s">
        <v>47</v>
      </c>
      <c r="C36" s="5" t="s">
        <v>330</v>
      </c>
      <c r="D36" s="4" t="s">
        <v>293</v>
      </c>
      <c r="E36" s="4"/>
      <c r="F36" s="69" t="s">
        <v>317</v>
      </c>
      <c r="G36" s="49" t="s">
        <v>318</v>
      </c>
      <c r="H36" s="77">
        <v>55</v>
      </c>
      <c r="I36" s="4"/>
      <c r="J36" s="4"/>
      <c r="K36" s="77">
        <v>56</v>
      </c>
      <c r="L36" s="70">
        <v>0.9821428571428571</v>
      </c>
      <c r="M36" s="71"/>
      <c r="N36" s="32"/>
      <c r="O36" s="78"/>
      <c r="P36" s="78"/>
    </row>
    <row r="37" spans="1:17" ht="15.75" customHeight="1">
      <c r="A37" s="28">
        <v>2</v>
      </c>
      <c r="B37" s="13" t="s">
        <v>47</v>
      </c>
      <c r="C37" s="5" t="s">
        <v>330</v>
      </c>
      <c r="D37" s="4" t="s">
        <v>293</v>
      </c>
      <c r="E37" s="4"/>
      <c r="F37" s="72" t="s">
        <v>320</v>
      </c>
      <c r="G37" s="49" t="s">
        <v>318</v>
      </c>
      <c r="H37" s="4">
        <v>54</v>
      </c>
      <c r="I37" s="4"/>
      <c r="J37" s="4"/>
      <c r="K37" s="77">
        <v>56</v>
      </c>
      <c r="L37" s="70">
        <v>0.9642857142857143</v>
      </c>
      <c r="M37" s="71"/>
      <c r="N37" s="32"/>
      <c r="O37" s="4"/>
      <c r="P37" s="5"/>
    </row>
    <row r="38" spans="1:17" ht="15.75" customHeight="1">
      <c r="A38" s="28">
        <v>2</v>
      </c>
      <c r="B38" s="13" t="s">
        <v>47</v>
      </c>
      <c r="C38" s="5" t="s">
        <v>330</v>
      </c>
      <c r="D38" s="4" t="s">
        <v>293</v>
      </c>
      <c r="E38" s="4"/>
      <c r="F38" s="74" t="s">
        <v>24</v>
      </c>
      <c r="G38" s="49" t="s">
        <v>323</v>
      </c>
      <c r="H38" s="4">
        <v>49</v>
      </c>
      <c r="I38" s="4"/>
      <c r="J38" s="4"/>
      <c r="K38" s="77">
        <v>56</v>
      </c>
      <c r="L38" s="70">
        <v>0.875</v>
      </c>
      <c r="M38" s="71"/>
      <c r="N38" s="32"/>
      <c r="O38" s="4"/>
      <c r="P38" s="5"/>
    </row>
    <row r="39" spans="1:17" ht="15.75" customHeight="1">
      <c r="A39" s="28">
        <v>2</v>
      </c>
      <c r="B39" s="13" t="s">
        <v>47</v>
      </c>
      <c r="C39" s="5" t="s">
        <v>330</v>
      </c>
      <c r="D39" s="4" t="s">
        <v>293</v>
      </c>
      <c r="E39" s="4"/>
      <c r="F39" s="76" t="s">
        <v>28</v>
      </c>
      <c r="G39" s="49" t="s">
        <v>306</v>
      </c>
      <c r="H39" s="4">
        <v>49</v>
      </c>
      <c r="I39" s="4"/>
      <c r="J39" s="4"/>
      <c r="K39" s="77">
        <v>56</v>
      </c>
      <c r="L39" s="70">
        <v>0.875</v>
      </c>
      <c r="M39" s="71"/>
      <c r="N39" s="32"/>
      <c r="O39" s="4"/>
      <c r="P39" s="5"/>
    </row>
    <row r="40" spans="1:17" ht="15.75" customHeight="1">
      <c r="A40" s="28">
        <v>2</v>
      </c>
      <c r="B40" s="13" t="s">
        <v>47</v>
      </c>
      <c r="C40" s="5" t="s">
        <v>330</v>
      </c>
      <c r="D40" s="4" t="s">
        <v>293</v>
      </c>
      <c r="E40" s="4"/>
      <c r="F40" s="75" t="s">
        <v>98</v>
      </c>
      <c r="G40" s="49" t="s">
        <v>324</v>
      </c>
      <c r="H40" s="4">
        <v>51</v>
      </c>
      <c r="I40" s="4"/>
      <c r="J40" s="4"/>
      <c r="K40" s="77">
        <v>56</v>
      </c>
      <c r="L40" s="70">
        <v>0.9107142857142857</v>
      </c>
      <c r="M40" s="71"/>
      <c r="N40" s="32"/>
      <c r="O40" s="4"/>
      <c r="P40" s="5"/>
    </row>
    <row r="41" spans="1:17" ht="15.75" customHeight="1">
      <c r="A41" s="28">
        <v>2</v>
      </c>
      <c r="B41" s="13" t="s">
        <v>47</v>
      </c>
      <c r="C41" s="5" t="s">
        <v>330</v>
      </c>
      <c r="D41" s="4" t="s">
        <v>293</v>
      </c>
      <c r="E41" s="4"/>
      <c r="F41" s="44" t="s">
        <v>281</v>
      </c>
      <c r="G41" s="49" t="s">
        <v>319</v>
      </c>
      <c r="H41" s="4">
        <v>49</v>
      </c>
      <c r="I41" s="4"/>
      <c r="J41" s="4"/>
      <c r="K41" s="77">
        <v>56</v>
      </c>
      <c r="L41" s="70">
        <v>0.875</v>
      </c>
      <c r="M41" s="71"/>
      <c r="N41" s="32"/>
      <c r="O41" s="4"/>
      <c r="P41" s="5"/>
    </row>
    <row r="42" spans="1:17" ht="15.75" customHeight="1">
      <c r="A42" s="28">
        <v>2</v>
      </c>
      <c r="B42" s="13" t="s">
        <v>47</v>
      </c>
      <c r="C42" s="5" t="s">
        <v>330</v>
      </c>
      <c r="D42" s="4" t="s">
        <v>293</v>
      </c>
      <c r="E42" s="4"/>
      <c r="F42" s="73" t="s">
        <v>321</v>
      </c>
      <c r="G42" s="49" t="s">
        <v>322</v>
      </c>
      <c r="H42" s="4">
        <v>48</v>
      </c>
      <c r="I42" s="4"/>
      <c r="J42" s="4"/>
      <c r="K42" s="77">
        <v>56</v>
      </c>
      <c r="L42" s="70">
        <v>0.8571428571428571</v>
      </c>
      <c r="M42" s="71"/>
      <c r="N42" s="32"/>
      <c r="O42" s="4"/>
      <c r="P42" s="5"/>
    </row>
    <row r="43" spans="1:17" ht="15.75" customHeight="1">
      <c r="A43" s="28">
        <v>2</v>
      </c>
      <c r="B43" s="68" t="s">
        <v>47</v>
      </c>
      <c r="C43" s="5" t="s">
        <v>331</v>
      </c>
      <c r="D43" s="4" t="s">
        <v>293</v>
      </c>
      <c r="E43" s="4"/>
      <c r="F43" s="69" t="s">
        <v>317</v>
      </c>
      <c r="G43" s="49" t="s">
        <v>318</v>
      </c>
      <c r="H43" s="4">
        <v>9</v>
      </c>
      <c r="I43" s="4"/>
      <c r="J43" s="4"/>
      <c r="K43" s="4">
        <v>9</v>
      </c>
      <c r="L43" s="70">
        <v>1</v>
      </c>
      <c r="M43" s="71"/>
      <c r="N43" s="32"/>
      <c r="O43" s="4"/>
      <c r="P43" s="5"/>
    </row>
    <row r="44" spans="1:17" ht="15.75" customHeight="1">
      <c r="A44" s="28">
        <v>2</v>
      </c>
      <c r="B44" s="13" t="s">
        <v>47</v>
      </c>
      <c r="C44" s="5" t="s">
        <v>331</v>
      </c>
      <c r="D44" s="4" t="s">
        <v>293</v>
      </c>
      <c r="E44" s="4"/>
      <c r="F44" s="72" t="s">
        <v>320</v>
      </c>
      <c r="G44" s="49" t="s">
        <v>318</v>
      </c>
      <c r="H44" s="4">
        <v>3</v>
      </c>
      <c r="I44" s="4"/>
      <c r="J44" s="4"/>
      <c r="K44" s="4">
        <v>9</v>
      </c>
      <c r="L44" s="70">
        <v>0.33333333333333331</v>
      </c>
      <c r="M44" s="71"/>
      <c r="N44" s="32"/>
      <c r="O44" s="4"/>
      <c r="P44" s="5"/>
    </row>
    <row r="45" spans="1:17" ht="15.75" customHeight="1">
      <c r="A45" s="28">
        <v>2</v>
      </c>
      <c r="B45" s="13" t="s">
        <v>47</v>
      </c>
      <c r="C45" s="5" t="s">
        <v>331</v>
      </c>
      <c r="D45" s="4" t="s">
        <v>293</v>
      </c>
      <c r="E45" s="4"/>
      <c r="F45" s="74" t="s">
        <v>24</v>
      </c>
      <c r="G45" s="49" t="s">
        <v>323</v>
      </c>
      <c r="H45" s="4">
        <v>5</v>
      </c>
      <c r="I45" s="4"/>
      <c r="J45" s="4"/>
      <c r="K45" s="4">
        <v>9</v>
      </c>
      <c r="L45" s="70">
        <v>0.55555555555555558</v>
      </c>
      <c r="M45" s="71"/>
      <c r="N45" s="32"/>
      <c r="O45" s="4"/>
      <c r="P45" s="5"/>
    </row>
    <row r="46" spans="1:17" ht="15.75" customHeight="1">
      <c r="A46" s="28">
        <v>2</v>
      </c>
      <c r="B46" s="13" t="s">
        <v>47</v>
      </c>
      <c r="C46" s="5" t="s">
        <v>331</v>
      </c>
      <c r="D46" s="4" t="s">
        <v>293</v>
      </c>
      <c r="E46" s="4"/>
      <c r="F46" s="76" t="s">
        <v>28</v>
      </c>
      <c r="G46" s="49" t="s">
        <v>306</v>
      </c>
      <c r="H46" s="4">
        <v>0</v>
      </c>
      <c r="I46" s="4"/>
      <c r="J46" s="4"/>
      <c r="K46" s="4">
        <v>9</v>
      </c>
      <c r="L46" s="70">
        <v>0</v>
      </c>
      <c r="M46" s="71"/>
      <c r="N46" s="32"/>
      <c r="O46" s="4"/>
      <c r="P46" s="5"/>
    </row>
    <row r="47" spans="1:17" ht="15.75" customHeight="1">
      <c r="A47" s="28">
        <v>2</v>
      </c>
      <c r="B47" s="13" t="s">
        <v>47</v>
      </c>
      <c r="C47" s="5" t="s">
        <v>331</v>
      </c>
      <c r="D47" s="4" t="s">
        <v>293</v>
      </c>
      <c r="E47" s="4"/>
      <c r="F47" s="75" t="s">
        <v>98</v>
      </c>
      <c r="G47" s="49" t="s">
        <v>324</v>
      </c>
      <c r="H47" s="4">
        <v>0</v>
      </c>
      <c r="I47" s="4"/>
      <c r="J47" s="4"/>
      <c r="K47" s="4">
        <v>9</v>
      </c>
      <c r="L47" s="70">
        <v>0</v>
      </c>
      <c r="M47" s="71"/>
      <c r="N47" s="32"/>
      <c r="O47" s="4"/>
      <c r="P47" s="5"/>
    </row>
    <row r="48" spans="1:17" ht="15.75" customHeight="1">
      <c r="A48" s="28">
        <v>2</v>
      </c>
      <c r="B48" s="13" t="s">
        <v>47</v>
      </c>
      <c r="C48" s="5" t="s">
        <v>331</v>
      </c>
      <c r="D48" s="4" t="s">
        <v>293</v>
      </c>
      <c r="E48" s="4"/>
      <c r="F48" s="44" t="s">
        <v>281</v>
      </c>
      <c r="G48" s="49" t="s">
        <v>319</v>
      </c>
      <c r="H48" s="4">
        <v>4</v>
      </c>
      <c r="I48" s="4"/>
      <c r="J48" s="4"/>
      <c r="K48" s="4">
        <v>9</v>
      </c>
      <c r="L48" s="70">
        <v>0.44444444444444442</v>
      </c>
      <c r="M48" s="71"/>
      <c r="N48" s="32"/>
      <c r="O48" s="4"/>
      <c r="P48" s="5"/>
    </row>
    <row r="49" spans="1:17" ht="15.75" customHeight="1">
      <c r="A49" s="28">
        <v>2</v>
      </c>
      <c r="B49" s="13" t="s">
        <v>47</v>
      </c>
      <c r="C49" s="5" t="s">
        <v>331</v>
      </c>
      <c r="D49" s="4" t="s">
        <v>293</v>
      </c>
      <c r="E49" s="4"/>
      <c r="F49" s="73" t="s">
        <v>321</v>
      </c>
      <c r="G49" s="49" t="s">
        <v>322</v>
      </c>
      <c r="H49" s="4">
        <v>2</v>
      </c>
      <c r="I49" s="4"/>
      <c r="J49" s="4"/>
      <c r="K49" s="4">
        <v>9</v>
      </c>
      <c r="L49" s="70">
        <v>0.22222222222222221</v>
      </c>
      <c r="M49" s="71"/>
      <c r="N49" s="32"/>
      <c r="O49" s="4"/>
      <c r="P49" s="5"/>
    </row>
    <row r="50" spans="1:17" ht="15.75" customHeight="1">
      <c r="A50" s="4">
        <v>3</v>
      </c>
      <c r="B50" s="13" t="s">
        <v>64</v>
      </c>
      <c r="C50" s="5" t="s">
        <v>332</v>
      </c>
      <c r="D50" s="4" t="s">
        <v>293</v>
      </c>
      <c r="E50" s="228" t="s">
        <v>333</v>
      </c>
      <c r="F50" s="79" t="s">
        <v>91</v>
      </c>
      <c r="G50" s="49" t="s">
        <v>334</v>
      </c>
      <c r="H50" s="5">
        <v>0</v>
      </c>
      <c r="I50" s="4"/>
      <c r="J50" s="4"/>
      <c r="K50" s="4">
        <v>44</v>
      </c>
      <c r="L50" s="71">
        <v>0</v>
      </c>
      <c r="M50" s="4"/>
      <c r="N50" s="80"/>
      <c r="O50" s="71">
        <v>0.71666666666666667</v>
      </c>
      <c r="P50" s="71">
        <v>11.929259999999999</v>
      </c>
      <c r="Q50" s="13">
        <v>1</v>
      </c>
    </row>
    <row r="51" spans="1:17" ht="15.75" customHeight="1">
      <c r="A51" s="4">
        <v>3</v>
      </c>
      <c r="B51" s="13" t="s">
        <v>64</v>
      </c>
      <c r="C51" s="5" t="s">
        <v>332</v>
      </c>
      <c r="D51" s="4" t="s">
        <v>293</v>
      </c>
      <c r="E51" s="229"/>
      <c r="F51" s="56" t="s">
        <v>16</v>
      </c>
      <c r="G51" s="49" t="s">
        <v>335</v>
      </c>
      <c r="H51" s="5">
        <v>26</v>
      </c>
      <c r="I51" s="4"/>
      <c r="J51" s="4"/>
      <c r="K51" s="4">
        <v>44</v>
      </c>
      <c r="L51" s="71">
        <v>0.59090909090909094</v>
      </c>
      <c r="M51" s="4"/>
      <c r="N51" s="80"/>
      <c r="O51" s="71">
        <v>4.2</v>
      </c>
      <c r="P51" s="71">
        <v>5.2531280000000002</v>
      </c>
      <c r="Q51" s="13">
        <v>2</v>
      </c>
    </row>
    <row r="52" spans="1:17" ht="15.75" customHeight="1">
      <c r="A52" s="4">
        <v>3</v>
      </c>
      <c r="B52" s="13" t="s">
        <v>64</v>
      </c>
      <c r="C52" s="5" t="s">
        <v>332</v>
      </c>
      <c r="D52" s="4" t="s">
        <v>293</v>
      </c>
      <c r="E52" s="229"/>
      <c r="F52" s="54" t="s">
        <v>13</v>
      </c>
      <c r="G52" s="49" t="s">
        <v>336</v>
      </c>
      <c r="H52" s="5">
        <v>3</v>
      </c>
      <c r="I52" s="4"/>
      <c r="J52" s="4"/>
      <c r="K52" s="4">
        <v>44</v>
      </c>
      <c r="L52" s="71">
        <v>6.8181818181818177E-2</v>
      </c>
      <c r="M52" s="4"/>
      <c r="N52" s="80"/>
      <c r="O52" s="71">
        <v>6.05</v>
      </c>
      <c r="P52" s="71">
        <v>19.335380000000001</v>
      </c>
      <c r="Q52" s="13">
        <v>3</v>
      </c>
    </row>
    <row r="53" spans="1:17" ht="15.75" customHeight="1">
      <c r="A53" s="4">
        <v>3</v>
      </c>
      <c r="B53" s="13" t="s">
        <v>64</v>
      </c>
      <c r="C53" s="5" t="s">
        <v>332</v>
      </c>
      <c r="D53" s="4" t="s">
        <v>293</v>
      </c>
      <c r="E53" s="229"/>
      <c r="F53" s="81" t="s">
        <v>79</v>
      </c>
      <c r="G53" s="49" t="s">
        <v>337</v>
      </c>
      <c r="H53" s="5">
        <v>31</v>
      </c>
      <c r="I53" s="4"/>
      <c r="J53" s="4"/>
      <c r="K53" s="4">
        <v>44</v>
      </c>
      <c r="L53" s="71">
        <v>0.70454545454545459</v>
      </c>
      <c r="M53" s="4"/>
      <c r="N53" s="80"/>
      <c r="O53" s="71">
        <v>9.5</v>
      </c>
      <c r="P53" s="71">
        <v>3.7132360000000002</v>
      </c>
      <c r="Q53" s="13">
        <v>4</v>
      </c>
    </row>
    <row r="54" spans="1:17" ht="15.75" customHeight="1">
      <c r="A54" s="4">
        <v>3</v>
      </c>
      <c r="B54" s="13" t="s">
        <v>64</v>
      </c>
      <c r="C54" s="5" t="s">
        <v>332</v>
      </c>
      <c r="D54" s="4" t="s">
        <v>293</v>
      </c>
      <c r="E54" s="229"/>
      <c r="F54" s="58" t="s">
        <v>88</v>
      </c>
      <c r="G54" s="49" t="s">
        <v>305</v>
      </c>
      <c r="H54" s="5">
        <v>9</v>
      </c>
      <c r="I54" s="4"/>
      <c r="J54" s="4"/>
      <c r="K54" s="4">
        <v>44</v>
      </c>
      <c r="L54" s="71">
        <v>0.20454545454545456</v>
      </c>
      <c r="M54" s="4"/>
      <c r="N54" s="80"/>
      <c r="O54" s="71">
        <v>12.116666666666667</v>
      </c>
      <c r="P54" s="71">
        <v>4.5205880000000001</v>
      </c>
      <c r="Q54" s="13">
        <v>5</v>
      </c>
    </row>
    <row r="55" spans="1:17" ht="15.75" customHeight="1">
      <c r="A55" s="4">
        <v>3</v>
      </c>
      <c r="B55" s="13" t="s">
        <v>64</v>
      </c>
      <c r="C55" s="5" t="s">
        <v>332</v>
      </c>
      <c r="D55" s="4" t="s">
        <v>293</v>
      </c>
      <c r="E55" s="229"/>
      <c r="F55" s="82" t="s">
        <v>82</v>
      </c>
      <c r="G55" s="49" t="s">
        <v>338</v>
      </c>
      <c r="H55" s="5">
        <v>0</v>
      </c>
      <c r="I55" s="4"/>
      <c r="J55" s="4"/>
      <c r="K55" s="4">
        <v>44</v>
      </c>
      <c r="L55" s="71">
        <v>0</v>
      </c>
      <c r="M55" s="4"/>
      <c r="N55" s="80"/>
      <c r="O55" s="71">
        <v>12.7</v>
      </c>
      <c r="P55" s="71">
        <v>6.7404679999999999</v>
      </c>
      <c r="Q55" s="13">
        <v>6</v>
      </c>
    </row>
    <row r="56" spans="1:17" ht="15.75" customHeight="1">
      <c r="A56" s="4">
        <v>3</v>
      </c>
      <c r="B56" s="13" t="s">
        <v>64</v>
      </c>
      <c r="C56" s="5" t="s">
        <v>332</v>
      </c>
      <c r="D56" s="4" t="s">
        <v>293</v>
      </c>
      <c r="E56" s="229"/>
      <c r="F56" s="62" t="s">
        <v>98</v>
      </c>
      <c r="G56" s="49" t="s">
        <v>310</v>
      </c>
      <c r="H56" s="5">
        <v>0</v>
      </c>
      <c r="I56" s="4"/>
      <c r="J56" s="4"/>
      <c r="K56" s="4">
        <v>44</v>
      </c>
      <c r="L56" s="71">
        <v>0</v>
      </c>
      <c r="M56" s="4"/>
      <c r="N56" s="80"/>
      <c r="O56" s="71">
        <v>15.683333333333334</v>
      </c>
      <c r="P56" s="71">
        <v>15.854343999999999</v>
      </c>
      <c r="Q56" s="13">
        <v>7</v>
      </c>
    </row>
    <row r="57" spans="1:17" ht="15.75" customHeight="1">
      <c r="A57" s="4">
        <v>3</v>
      </c>
      <c r="B57" s="13" t="s">
        <v>64</v>
      </c>
      <c r="C57" s="5" t="s">
        <v>332</v>
      </c>
      <c r="D57" s="4" t="s">
        <v>293</v>
      </c>
      <c r="E57" s="229"/>
      <c r="F57" s="63" t="s">
        <v>99</v>
      </c>
      <c r="G57" s="49" t="s">
        <v>339</v>
      </c>
      <c r="H57" s="5">
        <v>0</v>
      </c>
      <c r="I57" s="4"/>
      <c r="J57" s="4"/>
      <c r="K57" s="4">
        <v>44</v>
      </c>
      <c r="L57" s="71">
        <v>0</v>
      </c>
      <c r="M57" s="4"/>
      <c r="N57" s="80"/>
      <c r="O57" s="71">
        <v>32.366666666666667</v>
      </c>
      <c r="P57" s="71">
        <v>4.031104</v>
      </c>
      <c r="Q57" s="13">
        <v>8</v>
      </c>
    </row>
    <row r="58" spans="1:17" ht="15.75" customHeight="1">
      <c r="A58" s="4">
        <v>3</v>
      </c>
      <c r="B58" s="13" t="s">
        <v>64</v>
      </c>
      <c r="C58" s="5" t="s">
        <v>332</v>
      </c>
      <c r="D58" s="4" t="s">
        <v>293</v>
      </c>
      <c r="E58" s="229"/>
      <c r="F58" s="4" t="s">
        <v>76</v>
      </c>
      <c r="G58" s="49"/>
      <c r="H58" s="5">
        <v>5</v>
      </c>
      <c r="I58" s="4"/>
      <c r="J58" s="4"/>
      <c r="K58" s="4">
        <v>44</v>
      </c>
      <c r="L58" s="71">
        <v>0.11363636363636363</v>
      </c>
      <c r="M58" s="4"/>
      <c r="N58" s="80"/>
      <c r="O58" s="71">
        <v>38.966666666666669</v>
      </c>
      <c r="P58" s="71">
        <v>9.9734639999999999</v>
      </c>
      <c r="Q58" s="13">
        <v>9</v>
      </c>
    </row>
    <row r="59" spans="1:17" ht="15.75" customHeight="1">
      <c r="A59" s="4">
        <v>3</v>
      </c>
      <c r="B59" s="13" t="s">
        <v>64</v>
      </c>
      <c r="C59" s="5" t="s">
        <v>332</v>
      </c>
      <c r="D59" s="4" t="s">
        <v>293</v>
      </c>
      <c r="E59" s="229"/>
      <c r="F59" s="83" t="s">
        <v>25</v>
      </c>
      <c r="G59" s="84" t="s">
        <v>340</v>
      </c>
      <c r="H59" s="5">
        <v>0</v>
      </c>
      <c r="I59" s="4"/>
      <c r="J59" s="4"/>
      <c r="K59" s="4">
        <v>44</v>
      </c>
      <c r="L59" s="71">
        <v>0</v>
      </c>
      <c r="M59" s="4"/>
      <c r="N59" s="80"/>
      <c r="O59" s="71">
        <v>43.733333333333334</v>
      </c>
      <c r="P59" s="71">
        <v>5.4971040000000002</v>
      </c>
      <c r="Q59" s="13">
        <v>10</v>
      </c>
    </row>
    <row r="60" spans="1:17" ht="15.75" customHeight="1">
      <c r="A60" s="4">
        <v>3</v>
      </c>
      <c r="B60" s="13" t="s">
        <v>64</v>
      </c>
      <c r="C60" s="5" t="s">
        <v>332</v>
      </c>
      <c r="D60" s="4" t="s">
        <v>293</v>
      </c>
      <c r="E60" s="229"/>
      <c r="F60" s="59" t="s">
        <v>92</v>
      </c>
      <c r="G60" s="49">
        <v>1.06</v>
      </c>
      <c r="H60" s="5">
        <v>1</v>
      </c>
      <c r="I60" s="4"/>
      <c r="J60" s="4"/>
      <c r="K60" s="4">
        <v>44</v>
      </c>
      <c r="L60" s="71">
        <v>2.2727272727272728E-2</v>
      </c>
      <c r="M60" s="4"/>
      <c r="N60" s="80"/>
      <c r="O60" s="71">
        <v>66.266666666666666</v>
      </c>
      <c r="P60" s="71">
        <v>44.342635999999999</v>
      </c>
      <c r="Q60" s="13">
        <v>11</v>
      </c>
    </row>
    <row r="61" spans="1:17" ht="15.75" customHeight="1">
      <c r="A61" s="4">
        <v>3</v>
      </c>
      <c r="B61" s="13" t="s">
        <v>64</v>
      </c>
      <c r="C61" s="5" t="s">
        <v>332</v>
      </c>
      <c r="D61" s="4" t="s">
        <v>293</v>
      </c>
      <c r="E61" s="232"/>
      <c r="F61" s="4" t="s">
        <v>72</v>
      </c>
      <c r="G61" s="49" t="s">
        <v>341</v>
      </c>
      <c r="H61" s="5">
        <v>0</v>
      </c>
      <c r="I61" s="4"/>
      <c r="J61" s="4"/>
      <c r="K61" s="4">
        <v>44</v>
      </c>
      <c r="L61" s="71">
        <v>0</v>
      </c>
      <c r="M61" s="4"/>
      <c r="N61" s="4"/>
      <c r="O61" s="4"/>
      <c r="P61" s="5"/>
      <c r="Q61" s="13">
        <v>12</v>
      </c>
    </row>
    <row r="62" spans="1:17" ht="15.75" customHeight="1">
      <c r="A62" s="4">
        <v>4</v>
      </c>
      <c r="B62" s="68" t="s">
        <v>102</v>
      </c>
      <c r="C62" s="5" t="s">
        <v>343</v>
      </c>
      <c r="D62" s="4" t="s">
        <v>293</v>
      </c>
      <c r="E62" s="234" t="s">
        <v>344</v>
      </c>
      <c r="F62" s="44" t="s">
        <v>10</v>
      </c>
      <c r="G62" s="49"/>
      <c r="H62" s="4"/>
      <c r="I62" s="4"/>
      <c r="J62" s="4"/>
      <c r="K62" s="4"/>
      <c r="L62" s="4">
        <v>0.69</v>
      </c>
      <c r="M62" s="71"/>
      <c r="N62" s="32"/>
      <c r="O62" s="71">
        <v>0.41666666666666669</v>
      </c>
      <c r="P62" s="5"/>
      <c r="Q62" s="13">
        <v>1</v>
      </c>
    </row>
    <row r="63" spans="1:17" ht="15.75" customHeight="1">
      <c r="A63" s="4">
        <v>4</v>
      </c>
      <c r="B63" s="68" t="s">
        <v>102</v>
      </c>
      <c r="C63" s="5" t="s">
        <v>343</v>
      </c>
      <c r="D63" s="4" t="s">
        <v>293</v>
      </c>
      <c r="E63" s="229"/>
      <c r="F63" s="49" t="s">
        <v>345</v>
      </c>
      <c r="G63" s="49"/>
      <c r="H63" s="4"/>
      <c r="I63" s="4"/>
      <c r="J63" s="4"/>
      <c r="K63" s="4"/>
      <c r="L63" s="4">
        <v>0.89</v>
      </c>
      <c r="M63" s="71"/>
      <c r="N63" s="32"/>
      <c r="O63" s="71">
        <v>0.58333333333333337</v>
      </c>
      <c r="P63" s="5"/>
      <c r="Q63" s="13">
        <v>2</v>
      </c>
    </row>
    <row r="64" spans="1:17" ht="15.75" customHeight="1">
      <c r="A64" s="4">
        <v>4</v>
      </c>
      <c r="B64" s="68" t="s">
        <v>102</v>
      </c>
      <c r="C64" s="5" t="s">
        <v>343</v>
      </c>
      <c r="D64" s="4" t="s">
        <v>293</v>
      </c>
      <c r="E64" s="229"/>
      <c r="F64" s="85" t="s">
        <v>107</v>
      </c>
      <c r="G64" s="49" t="s">
        <v>346</v>
      </c>
      <c r="H64" s="4"/>
      <c r="I64" s="4"/>
      <c r="J64" s="4"/>
      <c r="K64" s="4"/>
      <c r="L64" s="4">
        <v>0.65</v>
      </c>
      <c r="M64" s="71"/>
      <c r="N64" s="32"/>
      <c r="O64" s="71">
        <v>0.83333333333333337</v>
      </c>
      <c r="P64" s="5"/>
      <c r="Q64" s="13">
        <v>3</v>
      </c>
    </row>
    <row r="65" spans="1:17" ht="15.75" customHeight="1">
      <c r="A65" s="4">
        <v>4</v>
      </c>
      <c r="B65" s="13" t="s">
        <v>102</v>
      </c>
      <c r="C65" s="5" t="s">
        <v>343</v>
      </c>
      <c r="D65" s="4" t="s">
        <v>293</v>
      </c>
      <c r="E65" s="230"/>
      <c r="F65" s="86" t="s">
        <v>108</v>
      </c>
      <c r="G65" s="84" t="s">
        <v>339</v>
      </c>
      <c r="H65" s="4"/>
      <c r="I65" s="4"/>
      <c r="J65" s="4"/>
      <c r="K65" s="4"/>
      <c r="L65" s="4">
        <v>0.01</v>
      </c>
      <c r="M65" s="71"/>
      <c r="N65" s="32"/>
      <c r="O65" s="71">
        <v>0.83333333333333337</v>
      </c>
      <c r="P65" s="5"/>
      <c r="Q65" s="13">
        <v>3</v>
      </c>
    </row>
    <row r="66" spans="1:17" ht="15.75" customHeight="1">
      <c r="A66" s="4">
        <v>5</v>
      </c>
      <c r="B66" s="13" t="s">
        <v>111</v>
      </c>
      <c r="C66" s="5" t="s">
        <v>347</v>
      </c>
      <c r="D66" s="4" t="s">
        <v>293</v>
      </c>
      <c r="E66" s="4"/>
      <c r="F66" s="49" t="s">
        <v>348</v>
      </c>
      <c r="G66" s="49"/>
      <c r="H66" s="4">
        <v>28</v>
      </c>
      <c r="I66" s="87">
        <v>6</v>
      </c>
      <c r="J66" s="4">
        <v>34</v>
      </c>
      <c r="K66" s="4">
        <v>37</v>
      </c>
      <c r="L66" s="71">
        <v>0.7567567567567568</v>
      </c>
      <c r="M66" s="71">
        <v>0.82352941176470584</v>
      </c>
      <c r="N66" s="32">
        <v>0.78873239436619713</v>
      </c>
      <c r="O66" s="4"/>
      <c r="P66" s="5"/>
    </row>
    <row r="67" spans="1:17" ht="15.75" customHeight="1">
      <c r="A67" s="4">
        <v>5</v>
      </c>
      <c r="B67" s="13" t="s">
        <v>111</v>
      </c>
      <c r="C67" s="5" t="s">
        <v>347</v>
      </c>
      <c r="D67" s="4" t="s">
        <v>293</v>
      </c>
      <c r="E67" s="4"/>
      <c r="F67" s="86" t="s">
        <v>120</v>
      </c>
      <c r="G67" s="49"/>
      <c r="H67" s="4">
        <v>30</v>
      </c>
      <c r="I67" s="87">
        <v>36</v>
      </c>
      <c r="J67" s="4">
        <v>66</v>
      </c>
      <c r="K67" s="4">
        <v>37</v>
      </c>
      <c r="L67" s="71">
        <v>0.81081081081081086</v>
      </c>
      <c r="M67" s="71">
        <v>0.45454545454545453</v>
      </c>
      <c r="N67" s="32">
        <v>0.58252427184466016</v>
      </c>
      <c r="O67" s="4"/>
      <c r="P67" s="5"/>
    </row>
    <row r="68" spans="1:17" ht="15.75" customHeight="1">
      <c r="A68" s="4">
        <v>5</v>
      </c>
      <c r="B68" s="13" t="s">
        <v>111</v>
      </c>
      <c r="C68" s="5" t="s">
        <v>347</v>
      </c>
      <c r="D68" s="4" t="s">
        <v>293</v>
      </c>
      <c r="E68" s="4"/>
      <c r="F68" s="88" t="s">
        <v>124</v>
      </c>
      <c r="G68" s="49"/>
      <c r="H68" s="4">
        <v>16</v>
      </c>
      <c r="I68" s="87">
        <v>10</v>
      </c>
      <c r="J68" s="4">
        <v>26</v>
      </c>
      <c r="K68" s="4">
        <v>37</v>
      </c>
      <c r="L68" s="71">
        <v>0.43243243243243246</v>
      </c>
      <c r="M68" s="71">
        <v>0.61538461538461542</v>
      </c>
      <c r="N68" s="32">
        <v>0.50793650793650791</v>
      </c>
      <c r="O68" s="4"/>
      <c r="P68" s="5"/>
    </row>
    <row r="69" spans="1:17" ht="15.75" customHeight="1">
      <c r="A69" s="4">
        <v>5</v>
      </c>
      <c r="B69" s="13" t="s">
        <v>111</v>
      </c>
      <c r="C69" s="5" t="s">
        <v>347</v>
      </c>
      <c r="D69" s="4" t="s">
        <v>293</v>
      </c>
      <c r="E69" s="4"/>
      <c r="F69" s="85" t="s">
        <v>128</v>
      </c>
      <c r="G69" s="49"/>
      <c r="H69" s="4">
        <v>21</v>
      </c>
      <c r="I69" s="87">
        <v>16</v>
      </c>
      <c r="J69" s="4">
        <v>37</v>
      </c>
      <c r="K69" s="4">
        <v>37</v>
      </c>
      <c r="L69" s="71">
        <v>0.56756756756756754</v>
      </c>
      <c r="M69" s="71">
        <v>0.56756756756756754</v>
      </c>
      <c r="N69" s="32">
        <v>0.56756756756756754</v>
      </c>
      <c r="O69" s="4"/>
      <c r="P69" s="5"/>
    </row>
    <row r="70" spans="1:17" ht="15.75" customHeight="1">
      <c r="A70" s="4">
        <v>5</v>
      </c>
      <c r="B70" s="13" t="s">
        <v>111</v>
      </c>
      <c r="C70" s="5" t="s">
        <v>347</v>
      </c>
      <c r="D70" s="4" t="s">
        <v>293</v>
      </c>
      <c r="E70" s="4"/>
      <c r="F70" s="89" t="s">
        <v>132</v>
      </c>
      <c r="G70" s="49"/>
      <c r="H70" s="4">
        <v>30</v>
      </c>
      <c r="I70" s="87">
        <v>8</v>
      </c>
      <c r="J70" s="4">
        <v>38</v>
      </c>
      <c r="K70" s="4">
        <v>37</v>
      </c>
      <c r="L70" s="71">
        <v>0.81081081081081086</v>
      </c>
      <c r="M70" s="71">
        <v>0.78947368421052633</v>
      </c>
      <c r="N70" s="32">
        <v>0.8</v>
      </c>
      <c r="O70" s="4"/>
      <c r="P70" s="5"/>
    </row>
    <row r="71" spans="1:17" ht="15.75" customHeight="1">
      <c r="A71" s="4">
        <v>5</v>
      </c>
      <c r="B71" s="13" t="s">
        <v>111</v>
      </c>
      <c r="C71" s="5" t="s">
        <v>349</v>
      </c>
      <c r="D71" s="4" t="s">
        <v>114</v>
      </c>
      <c r="E71" s="4"/>
      <c r="F71" s="49" t="s">
        <v>348</v>
      </c>
      <c r="G71" s="49"/>
      <c r="H71" s="4">
        <v>6</v>
      </c>
      <c r="I71" s="4">
        <v>28</v>
      </c>
      <c r="J71" s="4">
        <v>34</v>
      </c>
      <c r="K71" s="4"/>
      <c r="L71" s="71"/>
      <c r="M71" s="71">
        <v>0.17647058823529413</v>
      </c>
      <c r="N71" s="32">
        <v>0</v>
      </c>
      <c r="O71" s="4"/>
      <c r="P71" s="5"/>
    </row>
    <row r="72" spans="1:17" ht="15.75" customHeight="1">
      <c r="A72" s="4">
        <v>5</v>
      </c>
      <c r="B72" s="13" t="s">
        <v>111</v>
      </c>
      <c r="C72" s="5" t="s">
        <v>349</v>
      </c>
      <c r="D72" s="4" t="s">
        <v>114</v>
      </c>
      <c r="E72" s="4"/>
      <c r="F72" s="86" t="s">
        <v>120</v>
      </c>
      <c r="G72" s="49"/>
      <c r="H72" s="4">
        <v>3</v>
      </c>
      <c r="I72" s="4">
        <v>71</v>
      </c>
      <c r="J72" s="4">
        <v>74</v>
      </c>
      <c r="K72" s="4"/>
      <c r="L72" s="71"/>
      <c r="M72" s="71">
        <v>4.0540540540540543E-2</v>
      </c>
      <c r="N72" s="32">
        <v>0</v>
      </c>
      <c r="O72" s="4"/>
      <c r="P72" s="5"/>
    </row>
    <row r="73" spans="1:17" ht="15.75" customHeight="1">
      <c r="A73" s="4">
        <v>5</v>
      </c>
      <c r="B73" s="13" t="s">
        <v>111</v>
      </c>
      <c r="C73" s="5" t="s">
        <v>349</v>
      </c>
      <c r="D73" s="4" t="s">
        <v>114</v>
      </c>
      <c r="E73" s="4"/>
      <c r="F73" s="88" t="s">
        <v>124</v>
      </c>
      <c r="G73" s="49"/>
      <c r="H73" s="4">
        <v>5</v>
      </c>
      <c r="I73" s="4">
        <v>221</v>
      </c>
      <c r="J73" s="4">
        <v>226</v>
      </c>
      <c r="K73" s="4"/>
      <c r="L73" s="71"/>
      <c r="M73" s="71">
        <v>2.2123893805309734E-2</v>
      </c>
      <c r="N73" s="32">
        <v>0</v>
      </c>
      <c r="O73" s="4"/>
      <c r="P73" s="5"/>
    </row>
    <row r="74" spans="1:17" ht="15.75" customHeight="1">
      <c r="A74" s="4">
        <v>5</v>
      </c>
      <c r="B74" s="13" t="s">
        <v>111</v>
      </c>
      <c r="C74" s="5" t="s">
        <v>349</v>
      </c>
      <c r="D74" s="4" t="s">
        <v>114</v>
      </c>
      <c r="E74" s="4"/>
      <c r="F74" s="85" t="s">
        <v>128</v>
      </c>
      <c r="G74" s="49"/>
      <c r="H74" s="28"/>
      <c r="I74" s="4"/>
      <c r="J74" s="4"/>
      <c r="K74" s="28"/>
      <c r="L74" s="4"/>
      <c r="M74" s="4"/>
      <c r="N74" s="32"/>
      <c r="O74" s="4"/>
      <c r="P74" s="5"/>
    </row>
    <row r="75" spans="1:17" ht="15.75" customHeight="1">
      <c r="A75" s="4">
        <v>5</v>
      </c>
      <c r="B75" s="13" t="s">
        <v>111</v>
      </c>
      <c r="C75" s="5" t="s">
        <v>349</v>
      </c>
      <c r="D75" s="4" t="s">
        <v>114</v>
      </c>
      <c r="E75" s="4"/>
      <c r="F75" s="89" t="s">
        <v>132</v>
      </c>
      <c r="G75" s="49"/>
      <c r="H75" s="28"/>
      <c r="I75" s="4"/>
      <c r="J75" s="4"/>
      <c r="K75" s="28"/>
      <c r="L75" s="4"/>
      <c r="M75" s="4"/>
      <c r="N75" s="32"/>
      <c r="O75" s="4"/>
      <c r="P75" s="5"/>
    </row>
    <row r="76" spans="1:17" ht="15.75" customHeight="1">
      <c r="A76" s="4">
        <v>6</v>
      </c>
      <c r="B76" s="68" t="s">
        <v>139</v>
      </c>
      <c r="C76" s="90" t="s">
        <v>351</v>
      </c>
      <c r="D76" s="4" t="s">
        <v>293</v>
      </c>
      <c r="E76" s="228" t="s">
        <v>352</v>
      </c>
      <c r="F76" s="91" t="s">
        <v>150</v>
      </c>
      <c r="G76" s="49"/>
      <c r="H76" s="4">
        <v>22</v>
      </c>
      <c r="I76" s="4">
        <v>31</v>
      </c>
      <c r="J76" s="4">
        <v>53</v>
      </c>
      <c r="K76" s="4">
        <v>27</v>
      </c>
      <c r="L76" s="71">
        <v>0.81481481481481477</v>
      </c>
      <c r="M76" s="92">
        <v>0.41509433962264153</v>
      </c>
      <c r="N76" s="32">
        <v>0.55000000000000004</v>
      </c>
      <c r="O76" s="5">
        <v>1.83</v>
      </c>
      <c r="P76" s="13">
        <v>7</v>
      </c>
      <c r="Q76" s="13">
        <v>1</v>
      </c>
    </row>
    <row r="77" spans="1:17" ht="15.75" customHeight="1">
      <c r="A77" s="4">
        <v>6</v>
      </c>
      <c r="B77" s="68" t="s">
        <v>139</v>
      </c>
      <c r="C77" s="90" t="s">
        <v>351</v>
      </c>
      <c r="D77" s="4" t="s">
        <v>293</v>
      </c>
      <c r="E77" s="229"/>
      <c r="F77" s="88" t="s">
        <v>91</v>
      </c>
      <c r="G77" s="49"/>
      <c r="H77" s="4">
        <v>12</v>
      </c>
      <c r="I77" s="4">
        <v>35</v>
      </c>
      <c r="J77" s="4">
        <v>47</v>
      </c>
      <c r="K77" s="4">
        <v>27</v>
      </c>
      <c r="L77" s="71">
        <v>0.44444444444444442</v>
      </c>
      <c r="M77" s="92">
        <v>0.25531914893617019</v>
      </c>
      <c r="N77" s="32">
        <v>0.32432432432432434</v>
      </c>
      <c r="O77" s="5">
        <v>4.08</v>
      </c>
      <c r="P77" s="13">
        <v>0.9</v>
      </c>
      <c r="Q77" s="13">
        <v>2</v>
      </c>
    </row>
    <row r="78" spans="1:17" ht="15.75" customHeight="1">
      <c r="A78" s="4">
        <v>6</v>
      </c>
      <c r="B78" s="68" t="s">
        <v>139</v>
      </c>
      <c r="C78" s="90" t="s">
        <v>351</v>
      </c>
      <c r="D78" s="4" t="s">
        <v>293</v>
      </c>
      <c r="E78" s="229"/>
      <c r="F78" s="4" t="s">
        <v>158</v>
      </c>
      <c r="G78" s="49"/>
      <c r="H78" s="4">
        <v>0</v>
      </c>
      <c r="I78" s="4">
        <v>0</v>
      </c>
      <c r="J78" s="4">
        <v>0</v>
      </c>
      <c r="K78" s="4">
        <v>27</v>
      </c>
      <c r="L78" s="71">
        <v>0</v>
      </c>
      <c r="M78" s="92"/>
      <c r="N78" s="92"/>
      <c r="O78" s="5">
        <v>136.04</v>
      </c>
      <c r="P78" s="13">
        <v>3.8</v>
      </c>
      <c r="Q78" s="13">
        <v>3</v>
      </c>
    </row>
    <row r="79" spans="1:17" ht="15.75" customHeight="1">
      <c r="A79" s="4">
        <v>6</v>
      </c>
      <c r="B79" s="13" t="s">
        <v>139</v>
      </c>
      <c r="C79" s="90" t="s">
        <v>351</v>
      </c>
      <c r="D79" s="4" t="s">
        <v>293</v>
      </c>
      <c r="E79" s="229"/>
      <c r="F79" s="86" t="s">
        <v>99</v>
      </c>
      <c r="G79" s="49"/>
      <c r="H79" s="4">
        <v>24</v>
      </c>
      <c r="I79" s="4">
        <v>237</v>
      </c>
      <c r="J79" s="4">
        <v>261</v>
      </c>
      <c r="K79" s="4">
        <v>27</v>
      </c>
      <c r="L79" s="71">
        <v>0.88888888888888884</v>
      </c>
      <c r="M79" s="92">
        <v>9.1954022988505746E-2</v>
      </c>
      <c r="N79" s="32">
        <v>0.16666666666666666</v>
      </c>
      <c r="O79" s="93"/>
      <c r="P79" s="5"/>
    </row>
    <row r="80" spans="1:17" ht="15.75" customHeight="1">
      <c r="A80" s="4">
        <v>6</v>
      </c>
      <c r="B80" s="13" t="s">
        <v>139</v>
      </c>
      <c r="C80" s="90" t="s">
        <v>351</v>
      </c>
      <c r="D80" s="4" t="s">
        <v>293</v>
      </c>
      <c r="E80" s="229"/>
      <c r="F80" s="75" t="s">
        <v>164</v>
      </c>
      <c r="G80" s="49"/>
      <c r="H80" s="4">
        <v>24</v>
      </c>
      <c r="I80" s="4">
        <v>37</v>
      </c>
      <c r="J80" s="4">
        <v>61</v>
      </c>
      <c r="K80" s="4">
        <v>27</v>
      </c>
      <c r="L80" s="71">
        <v>0.88888888888888884</v>
      </c>
      <c r="M80" s="92">
        <v>0.39344262295081966</v>
      </c>
      <c r="N80" s="32">
        <v>0.54545454545454553</v>
      </c>
      <c r="O80" s="4"/>
      <c r="P80" s="5"/>
    </row>
    <row r="81" spans="1:16" ht="15.75" customHeight="1">
      <c r="A81" s="4">
        <v>6</v>
      </c>
      <c r="B81" s="13" t="s">
        <v>139</v>
      </c>
      <c r="C81" s="90" t="s">
        <v>351</v>
      </c>
      <c r="D81" s="4" t="s">
        <v>293</v>
      </c>
      <c r="E81" s="232"/>
      <c r="F81" s="85" t="s">
        <v>92</v>
      </c>
      <c r="G81" s="49"/>
      <c r="H81" s="4">
        <v>20</v>
      </c>
      <c r="I81" s="4">
        <v>22</v>
      </c>
      <c r="J81" s="4">
        <v>42</v>
      </c>
      <c r="K81" s="4">
        <v>27</v>
      </c>
      <c r="L81" s="71">
        <v>0.7407407407407407</v>
      </c>
      <c r="M81" s="92">
        <v>0.47619047619047616</v>
      </c>
      <c r="N81" s="32">
        <v>0.57971014492753625</v>
      </c>
      <c r="O81" s="4"/>
      <c r="P81" s="5"/>
    </row>
    <row r="82" spans="1:16" ht="15.75" customHeight="1">
      <c r="A82" s="4">
        <v>6</v>
      </c>
      <c r="B82" s="13" t="s">
        <v>139</v>
      </c>
      <c r="C82" s="94" t="s">
        <v>353</v>
      </c>
      <c r="D82" s="4" t="s">
        <v>293</v>
      </c>
      <c r="E82" s="228" t="s">
        <v>352</v>
      </c>
      <c r="F82" s="91" t="s">
        <v>150</v>
      </c>
      <c r="G82" s="49"/>
      <c r="H82" s="4">
        <v>22</v>
      </c>
      <c r="I82" s="4">
        <v>31</v>
      </c>
      <c r="J82" s="4">
        <v>53</v>
      </c>
      <c r="K82" s="4">
        <v>99</v>
      </c>
      <c r="L82" s="71">
        <v>0.22222222222222221</v>
      </c>
      <c r="M82" s="92">
        <v>0.41509433962264153</v>
      </c>
      <c r="N82" s="32">
        <v>0.28947368421052633</v>
      </c>
      <c r="O82" s="4"/>
      <c r="P82" s="5"/>
    </row>
    <row r="83" spans="1:16" ht="15.75" customHeight="1">
      <c r="A83" s="4">
        <v>6</v>
      </c>
      <c r="B83" s="13" t="s">
        <v>139</v>
      </c>
      <c r="C83" s="94" t="s">
        <v>353</v>
      </c>
      <c r="D83" s="4" t="s">
        <v>293</v>
      </c>
      <c r="E83" s="229"/>
      <c r="F83" s="88" t="s">
        <v>91</v>
      </c>
      <c r="G83" s="49"/>
      <c r="H83" s="4">
        <v>22</v>
      </c>
      <c r="I83" s="4">
        <v>25</v>
      </c>
      <c r="J83" s="4">
        <v>47</v>
      </c>
      <c r="K83" s="4">
        <v>99</v>
      </c>
      <c r="L83" s="71">
        <v>0.22222222222222221</v>
      </c>
      <c r="M83" s="92">
        <v>0.46808510638297873</v>
      </c>
      <c r="N83" s="32">
        <v>0.30136986301369861</v>
      </c>
      <c r="O83" s="4"/>
      <c r="P83" s="5"/>
    </row>
    <row r="84" spans="1:16" ht="15.75" customHeight="1">
      <c r="A84" s="4">
        <v>6</v>
      </c>
      <c r="B84" s="13" t="s">
        <v>139</v>
      </c>
      <c r="C84" s="94" t="s">
        <v>353</v>
      </c>
      <c r="D84" s="4" t="s">
        <v>293</v>
      </c>
      <c r="E84" s="229"/>
      <c r="F84" s="4" t="s">
        <v>158</v>
      </c>
      <c r="G84" s="49"/>
      <c r="H84" s="4">
        <v>0</v>
      </c>
      <c r="I84" s="4">
        <v>0</v>
      </c>
      <c r="J84" s="4">
        <v>0</v>
      </c>
      <c r="K84" s="4">
        <v>99</v>
      </c>
      <c r="L84" s="71">
        <v>0</v>
      </c>
      <c r="M84" s="92"/>
      <c r="N84" s="92"/>
      <c r="O84" s="4"/>
      <c r="P84" s="5"/>
    </row>
    <row r="85" spans="1:16" ht="15.75" customHeight="1">
      <c r="A85" s="4">
        <v>6</v>
      </c>
      <c r="B85" s="13" t="s">
        <v>139</v>
      </c>
      <c r="C85" s="94" t="s">
        <v>353</v>
      </c>
      <c r="D85" s="4" t="s">
        <v>293</v>
      </c>
      <c r="E85" s="229"/>
      <c r="F85" s="86" t="s">
        <v>99</v>
      </c>
      <c r="G85" s="49"/>
      <c r="H85" s="4">
        <v>35</v>
      </c>
      <c r="I85" s="4">
        <v>226</v>
      </c>
      <c r="J85" s="4">
        <v>261</v>
      </c>
      <c r="K85" s="4">
        <v>99</v>
      </c>
      <c r="L85" s="71">
        <v>0.35353535353535354</v>
      </c>
      <c r="M85" s="92">
        <v>0.13409961685823754</v>
      </c>
      <c r="N85" s="32">
        <v>0.19444444444444445</v>
      </c>
      <c r="O85" s="4"/>
      <c r="P85" s="5"/>
    </row>
    <row r="86" spans="1:16" ht="15.75" customHeight="1">
      <c r="A86" s="4">
        <v>6</v>
      </c>
      <c r="B86" s="13" t="s">
        <v>139</v>
      </c>
      <c r="C86" s="94" t="s">
        <v>353</v>
      </c>
      <c r="D86" s="4" t="s">
        <v>293</v>
      </c>
      <c r="E86" s="229"/>
      <c r="F86" s="75" t="s">
        <v>164</v>
      </c>
      <c r="G86" s="49"/>
      <c r="H86" s="4">
        <v>41</v>
      </c>
      <c r="I86" s="4">
        <v>20</v>
      </c>
      <c r="J86" s="4">
        <v>61</v>
      </c>
      <c r="K86" s="4">
        <v>99</v>
      </c>
      <c r="L86" s="71">
        <v>0.41414141414141414</v>
      </c>
      <c r="M86" s="92">
        <v>0.67213114754098358</v>
      </c>
      <c r="N86" s="32">
        <v>0.51249999999999996</v>
      </c>
      <c r="O86" s="4"/>
      <c r="P86" s="5"/>
    </row>
    <row r="87" spans="1:16" ht="15.75" customHeight="1">
      <c r="A87" s="4">
        <v>6</v>
      </c>
      <c r="B87" s="13" t="s">
        <v>139</v>
      </c>
      <c r="C87" s="94" t="s">
        <v>353</v>
      </c>
      <c r="D87" s="4" t="s">
        <v>293</v>
      </c>
      <c r="E87" s="232"/>
      <c r="F87" s="85" t="s">
        <v>92</v>
      </c>
      <c r="G87" s="49"/>
      <c r="H87" s="4">
        <v>28</v>
      </c>
      <c r="I87" s="4">
        <v>14</v>
      </c>
      <c r="J87" s="4">
        <v>42</v>
      </c>
      <c r="K87" s="4">
        <v>99</v>
      </c>
      <c r="L87" s="71">
        <v>0.28282828282828282</v>
      </c>
      <c r="M87" s="92">
        <v>0.66666666666666663</v>
      </c>
      <c r="N87" s="32">
        <v>0.39716312056737585</v>
      </c>
      <c r="O87" s="4"/>
      <c r="P87" s="5"/>
    </row>
    <row r="88" spans="1:16" ht="15.75" customHeight="1">
      <c r="A88" s="4">
        <v>6</v>
      </c>
      <c r="B88" s="13" t="s">
        <v>139</v>
      </c>
      <c r="C88" s="5" t="s">
        <v>354</v>
      </c>
      <c r="D88" s="4" t="s">
        <v>293</v>
      </c>
      <c r="E88" s="4"/>
      <c r="F88" s="91" t="s">
        <v>150</v>
      </c>
      <c r="G88" s="49"/>
      <c r="H88" s="4">
        <v>7</v>
      </c>
      <c r="I88" s="4">
        <v>14</v>
      </c>
      <c r="J88" s="4">
        <v>21</v>
      </c>
      <c r="K88" s="4">
        <v>11</v>
      </c>
      <c r="L88" s="32">
        <v>0.63636363636363635</v>
      </c>
      <c r="M88" s="92">
        <v>0.33333333333333331</v>
      </c>
      <c r="N88" s="32">
        <v>0.43749999999999994</v>
      </c>
      <c r="O88" s="4"/>
      <c r="P88" s="5"/>
    </row>
    <row r="89" spans="1:16" ht="15.75" customHeight="1">
      <c r="A89" s="4">
        <v>6</v>
      </c>
      <c r="B89" s="13" t="s">
        <v>139</v>
      </c>
      <c r="C89" s="5" t="s">
        <v>354</v>
      </c>
      <c r="D89" s="4" t="s">
        <v>293</v>
      </c>
      <c r="E89" s="4"/>
      <c r="F89" s="88" t="s">
        <v>91</v>
      </c>
      <c r="G89" s="49"/>
      <c r="H89" s="4">
        <v>3</v>
      </c>
      <c r="I89" s="4">
        <v>16</v>
      </c>
      <c r="J89" s="4">
        <v>19</v>
      </c>
      <c r="K89" s="4">
        <v>11</v>
      </c>
      <c r="L89" s="71">
        <v>0.27272727272727271</v>
      </c>
      <c r="M89" s="92">
        <v>0.15789473684210525</v>
      </c>
      <c r="N89" s="32">
        <v>0.19999999999999998</v>
      </c>
      <c r="O89" s="4"/>
      <c r="P89" s="5"/>
    </row>
    <row r="90" spans="1:16" ht="15.75" customHeight="1">
      <c r="A90" s="4">
        <v>6</v>
      </c>
      <c r="B90" s="13" t="s">
        <v>139</v>
      </c>
      <c r="C90" s="5" t="s">
        <v>354</v>
      </c>
      <c r="D90" s="4" t="s">
        <v>293</v>
      </c>
      <c r="E90" s="4"/>
      <c r="F90" s="4" t="s">
        <v>158</v>
      </c>
      <c r="G90" s="49"/>
      <c r="H90" s="4">
        <v>0</v>
      </c>
      <c r="I90" s="4">
        <v>0</v>
      </c>
      <c r="J90" s="4">
        <v>0</v>
      </c>
      <c r="K90" s="4">
        <v>11</v>
      </c>
      <c r="L90" s="71">
        <v>0</v>
      </c>
      <c r="M90" s="92"/>
      <c r="N90" s="32"/>
      <c r="O90" s="4"/>
      <c r="P90" s="5"/>
    </row>
    <row r="91" spans="1:16" ht="15.75" customHeight="1">
      <c r="A91" s="4">
        <v>6</v>
      </c>
      <c r="B91" s="13" t="s">
        <v>139</v>
      </c>
      <c r="C91" s="5" t="s">
        <v>354</v>
      </c>
      <c r="D91" s="4" t="s">
        <v>293</v>
      </c>
      <c r="E91" s="4"/>
      <c r="F91" s="86" t="s">
        <v>99</v>
      </c>
      <c r="G91" s="49"/>
      <c r="H91" s="4">
        <v>4</v>
      </c>
      <c r="I91" s="4">
        <v>25</v>
      </c>
      <c r="J91" s="4">
        <v>29</v>
      </c>
      <c r="K91" s="4">
        <v>11</v>
      </c>
      <c r="L91" s="71">
        <v>0.36363636363636365</v>
      </c>
      <c r="M91" s="92">
        <v>0.13793103448275862</v>
      </c>
      <c r="N91" s="32">
        <v>0.2</v>
      </c>
      <c r="O91" s="4"/>
      <c r="P91" s="5"/>
    </row>
    <row r="92" spans="1:16" ht="15.75" customHeight="1">
      <c r="A92" s="4">
        <v>6</v>
      </c>
      <c r="B92" s="13" t="s">
        <v>139</v>
      </c>
      <c r="C92" s="5" t="s">
        <v>354</v>
      </c>
      <c r="D92" s="4" t="s">
        <v>293</v>
      </c>
      <c r="E92" s="4"/>
      <c r="F92" s="75" t="s">
        <v>164</v>
      </c>
      <c r="G92" s="49"/>
      <c r="H92" s="4">
        <v>10</v>
      </c>
      <c r="I92" s="4">
        <v>98</v>
      </c>
      <c r="J92" s="4">
        <v>108</v>
      </c>
      <c r="K92" s="4">
        <v>11</v>
      </c>
      <c r="L92" s="32">
        <v>0.90909090909090906</v>
      </c>
      <c r="M92" s="92">
        <v>9.2592592592592587E-2</v>
      </c>
      <c r="N92" s="32">
        <v>0.16806722689075629</v>
      </c>
      <c r="O92" s="4"/>
      <c r="P92" s="5"/>
    </row>
    <row r="93" spans="1:16" ht="15.75" customHeight="1">
      <c r="A93" s="4">
        <v>6</v>
      </c>
      <c r="B93" s="13" t="s">
        <v>139</v>
      </c>
      <c r="C93" s="5" t="s">
        <v>354</v>
      </c>
      <c r="D93" s="4" t="s">
        <v>293</v>
      </c>
      <c r="E93" s="4"/>
      <c r="F93" s="85" t="s">
        <v>92</v>
      </c>
      <c r="G93" s="49"/>
      <c r="H93" s="4">
        <v>2</v>
      </c>
      <c r="I93" s="4">
        <v>2</v>
      </c>
      <c r="J93" s="4">
        <v>4</v>
      </c>
      <c r="K93" s="4">
        <v>11</v>
      </c>
      <c r="L93" s="71">
        <v>0.18181818181818182</v>
      </c>
      <c r="M93" s="92">
        <v>0.5</v>
      </c>
      <c r="N93" s="32">
        <v>0.26666666666666666</v>
      </c>
      <c r="O93" s="4"/>
      <c r="P93" s="5"/>
    </row>
    <row r="94" spans="1:16" ht="15.75" customHeight="1">
      <c r="A94" s="4">
        <v>6</v>
      </c>
      <c r="B94" s="13" t="s">
        <v>139</v>
      </c>
      <c r="C94" s="5" t="s">
        <v>355</v>
      </c>
      <c r="D94" s="4" t="s">
        <v>293</v>
      </c>
      <c r="E94" s="234" t="s">
        <v>356</v>
      </c>
      <c r="F94" s="91" t="s">
        <v>150</v>
      </c>
      <c r="G94" s="49"/>
      <c r="H94" s="4">
        <v>29</v>
      </c>
      <c r="I94" s="4">
        <v>159</v>
      </c>
      <c r="J94" s="4">
        <v>188</v>
      </c>
      <c r="K94" s="4">
        <v>31</v>
      </c>
      <c r="L94" s="71">
        <v>0.93548387096774188</v>
      </c>
      <c r="M94" s="92">
        <v>0.15425531914893617</v>
      </c>
      <c r="N94" s="32">
        <v>0.26484018264840187</v>
      </c>
      <c r="O94" s="4"/>
      <c r="P94" s="5"/>
    </row>
    <row r="95" spans="1:16" ht="15.75" customHeight="1">
      <c r="A95" s="4">
        <v>6</v>
      </c>
      <c r="B95" s="13" t="s">
        <v>139</v>
      </c>
      <c r="C95" s="5" t="s">
        <v>355</v>
      </c>
      <c r="D95" s="4" t="s">
        <v>293</v>
      </c>
      <c r="E95" s="229"/>
      <c r="F95" s="88" t="s">
        <v>91</v>
      </c>
      <c r="G95" s="49"/>
      <c r="H95" s="4">
        <v>29</v>
      </c>
      <c r="I95" s="4">
        <v>162</v>
      </c>
      <c r="J95" s="4">
        <v>191</v>
      </c>
      <c r="K95" s="4">
        <v>31</v>
      </c>
      <c r="L95" s="71">
        <v>0.93548387096774188</v>
      </c>
      <c r="M95" s="92">
        <v>0.15183246073298429</v>
      </c>
      <c r="N95" s="32">
        <v>0.26126126126126126</v>
      </c>
      <c r="O95" s="4"/>
      <c r="P95" s="5"/>
    </row>
    <row r="96" spans="1:16" ht="15.75" customHeight="1">
      <c r="A96" s="4">
        <v>6</v>
      </c>
      <c r="B96" s="13" t="s">
        <v>139</v>
      </c>
      <c r="C96" s="5" t="s">
        <v>355</v>
      </c>
      <c r="D96" s="4" t="s">
        <v>293</v>
      </c>
      <c r="E96" s="229"/>
      <c r="F96" s="4" t="s">
        <v>158</v>
      </c>
      <c r="G96" s="49"/>
      <c r="H96" s="4">
        <v>20</v>
      </c>
      <c r="I96" s="4">
        <v>189</v>
      </c>
      <c r="J96" s="4">
        <v>209</v>
      </c>
      <c r="K96" s="4">
        <v>31</v>
      </c>
      <c r="L96" s="32">
        <v>0.64516129032258063</v>
      </c>
      <c r="M96" s="92">
        <v>9.569377990430622E-2</v>
      </c>
      <c r="N96" s="32">
        <v>0.16666666666666669</v>
      </c>
      <c r="O96" s="4"/>
      <c r="P96" s="5"/>
    </row>
    <row r="97" spans="1:17" ht="15.75" customHeight="1">
      <c r="A97" s="4">
        <v>6</v>
      </c>
      <c r="B97" s="13" t="s">
        <v>139</v>
      </c>
      <c r="C97" s="5" t="s">
        <v>355</v>
      </c>
      <c r="D97" s="4" t="s">
        <v>293</v>
      </c>
      <c r="E97" s="229"/>
      <c r="F97" s="86" t="s">
        <v>99</v>
      </c>
      <c r="G97" s="49"/>
      <c r="H97" s="4">
        <v>29</v>
      </c>
      <c r="I97" s="4">
        <v>279</v>
      </c>
      <c r="J97" s="4">
        <v>308</v>
      </c>
      <c r="K97" s="4">
        <v>31</v>
      </c>
      <c r="L97" s="71">
        <v>0.93548387096774188</v>
      </c>
      <c r="M97" s="92">
        <v>9.4155844155844159E-2</v>
      </c>
      <c r="N97" s="32">
        <v>0.17109144542772861</v>
      </c>
      <c r="O97" s="4"/>
      <c r="P97" s="5"/>
    </row>
    <row r="98" spans="1:17" ht="15.75" customHeight="1">
      <c r="A98" s="4">
        <v>6</v>
      </c>
      <c r="B98" s="13" t="s">
        <v>139</v>
      </c>
      <c r="C98" s="5" t="s">
        <v>355</v>
      </c>
      <c r="D98" s="4" t="s">
        <v>293</v>
      </c>
      <c r="E98" s="229"/>
      <c r="F98" s="75" t="s">
        <v>164</v>
      </c>
      <c r="G98" s="49"/>
      <c r="H98" s="4">
        <v>22</v>
      </c>
      <c r="I98" s="4">
        <v>277</v>
      </c>
      <c r="J98" s="4">
        <v>299</v>
      </c>
      <c r="K98" s="4">
        <v>31</v>
      </c>
      <c r="L98" s="71">
        <v>0.70967741935483875</v>
      </c>
      <c r="M98" s="92">
        <v>7.3578595317725759E-2</v>
      </c>
      <c r="N98" s="32">
        <v>0.13333333333333336</v>
      </c>
      <c r="O98" s="4"/>
      <c r="P98" s="5"/>
    </row>
    <row r="99" spans="1:17" ht="15.75" customHeight="1">
      <c r="A99" s="4">
        <v>6</v>
      </c>
      <c r="B99" s="13" t="s">
        <v>139</v>
      </c>
      <c r="C99" s="5" t="s">
        <v>355</v>
      </c>
      <c r="D99" s="4" t="s">
        <v>293</v>
      </c>
      <c r="E99" s="230"/>
      <c r="F99" s="85" t="s">
        <v>92</v>
      </c>
      <c r="G99" s="49"/>
      <c r="H99" s="4">
        <v>30</v>
      </c>
      <c r="I99" s="4">
        <v>874</v>
      </c>
      <c r="J99" s="4">
        <v>904</v>
      </c>
      <c r="K99" s="4">
        <v>31</v>
      </c>
      <c r="L99" s="71">
        <v>0.967741935483871</v>
      </c>
      <c r="M99" s="92">
        <v>3.3185840707964605E-2</v>
      </c>
      <c r="N99" s="32">
        <v>6.4171122994652413E-2</v>
      </c>
      <c r="O99" s="4"/>
      <c r="P99" s="5"/>
    </row>
    <row r="100" spans="1:17" ht="15.75" customHeight="1">
      <c r="A100" s="4">
        <v>7</v>
      </c>
      <c r="B100" s="13" t="s">
        <v>175</v>
      </c>
      <c r="C100" s="5" t="s">
        <v>361</v>
      </c>
      <c r="D100" s="4" t="s">
        <v>293</v>
      </c>
      <c r="E100" s="228" t="s">
        <v>333</v>
      </c>
      <c r="F100" s="95" t="s">
        <v>197</v>
      </c>
      <c r="G100" s="49"/>
      <c r="H100" s="87">
        <v>20.025999999999996</v>
      </c>
      <c r="I100" s="87">
        <v>981.27399999999989</v>
      </c>
      <c r="J100" s="87">
        <v>1001.2999999999998</v>
      </c>
      <c r="K100" s="4">
        <v>62</v>
      </c>
      <c r="L100" s="71">
        <v>0.32299999999999995</v>
      </c>
      <c r="M100" s="4">
        <v>0.02</v>
      </c>
      <c r="N100" s="32">
        <v>3.7667638483965017E-2</v>
      </c>
      <c r="O100" s="80">
        <v>0.18333333333333332</v>
      </c>
      <c r="P100" s="5">
        <v>5</v>
      </c>
      <c r="Q100" s="13">
        <v>1</v>
      </c>
    </row>
    <row r="101" spans="1:17" ht="15.75" customHeight="1">
      <c r="A101" s="4">
        <v>7</v>
      </c>
      <c r="B101" s="13" t="s">
        <v>175</v>
      </c>
      <c r="C101" s="5" t="s">
        <v>361</v>
      </c>
      <c r="D101" s="4" t="s">
        <v>293</v>
      </c>
      <c r="E101" s="229"/>
      <c r="F101" s="91" t="s">
        <v>150</v>
      </c>
      <c r="G101" s="49"/>
      <c r="H101" s="87">
        <v>29.015999999999998</v>
      </c>
      <c r="I101" s="87">
        <v>74.612571428571414</v>
      </c>
      <c r="J101" s="87">
        <v>103.62857142857142</v>
      </c>
      <c r="K101" s="4">
        <v>62</v>
      </c>
      <c r="L101" s="71">
        <v>0.46799999999999997</v>
      </c>
      <c r="M101" s="4">
        <v>0.28000000000000003</v>
      </c>
      <c r="N101" s="32">
        <v>0.35037433155080216</v>
      </c>
      <c r="O101" s="80">
        <v>0.66666666666666663</v>
      </c>
      <c r="P101" s="5">
        <v>6</v>
      </c>
      <c r="Q101" s="13">
        <v>2</v>
      </c>
    </row>
    <row r="102" spans="1:17" ht="15.75" customHeight="1">
      <c r="A102" s="4">
        <v>7</v>
      </c>
      <c r="B102" s="13" t="s">
        <v>175</v>
      </c>
      <c r="C102" s="5" t="s">
        <v>361</v>
      </c>
      <c r="D102" s="4" t="s">
        <v>293</v>
      </c>
      <c r="E102" s="229"/>
      <c r="F102" s="76" t="s">
        <v>30</v>
      </c>
      <c r="G102" s="49"/>
      <c r="H102" s="87">
        <v>0</v>
      </c>
      <c r="I102" s="87">
        <v>0</v>
      </c>
      <c r="J102" s="87">
        <v>0</v>
      </c>
      <c r="K102" s="4">
        <v>62</v>
      </c>
      <c r="L102" s="71">
        <v>0</v>
      </c>
      <c r="M102" s="4">
        <v>0</v>
      </c>
      <c r="N102" s="32"/>
      <c r="O102" s="80">
        <v>1</v>
      </c>
      <c r="P102" s="5">
        <v>28</v>
      </c>
      <c r="Q102" s="13">
        <v>3</v>
      </c>
    </row>
    <row r="103" spans="1:17" ht="15.75" customHeight="1">
      <c r="A103" s="4">
        <v>7</v>
      </c>
      <c r="B103" s="13" t="s">
        <v>175</v>
      </c>
      <c r="C103" s="5" t="s">
        <v>361</v>
      </c>
      <c r="D103" s="4" t="s">
        <v>293</v>
      </c>
      <c r="E103" s="229"/>
      <c r="F103" s="69" t="s">
        <v>14</v>
      </c>
      <c r="G103" s="49"/>
      <c r="H103" s="87">
        <v>6.0139999999999993</v>
      </c>
      <c r="I103" s="87">
        <v>54.125999999999991</v>
      </c>
      <c r="J103" s="87">
        <v>60.139999999999993</v>
      </c>
      <c r="K103" s="4">
        <v>62</v>
      </c>
      <c r="L103" s="71">
        <v>9.6999999999999989E-2</v>
      </c>
      <c r="M103" s="4">
        <v>0.1</v>
      </c>
      <c r="N103" s="32">
        <v>9.847715736040609E-2</v>
      </c>
      <c r="O103" s="80">
        <v>1.25</v>
      </c>
      <c r="P103" s="5">
        <v>30</v>
      </c>
      <c r="Q103" s="13">
        <v>4</v>
      </c>
    </row>
    <row r="104" spans="1:17" ht="15.75" customHeight="1">
      <c r="A104" s="4">
        <v>7</v>
      </c>
      <c r="B104" s="13" t="s">
        <v>175</v>
      </c>
      <c r="C104" s="5" t="s">
        <v>361</v>
      </c>
      <c r="D104" s="4" t="s">
        <v>293</v>
      </c>
      <c r="E104" s="229"/>
      <c r="F104" s="44" t="s">
        <v>10</v>
      </c>
      <c r="G104" s="49"/>
      <c r="H104" s="87">
        <v>5.0220000000000002</v>
      </c>
      <c r="I104" s="87">
        <v>24.519176470588235</v>
      </c>
      <c r="J104" s="87">
        <v>29.541176470588233</v>
      </c>
      <c r="K104" s="4">
        <v>62</v>
      </c>
      <c r="L104" s="71">
        <v>8.1000000000000003E-2</v>
      </c>
      <c r="M104" s="4">
        <v>0.17</v>
      </c>
      <c r="N104" s="32">
        <v>0.10972111553784861</v>
      </c>
      <c r="O104" s="80">
        <v>2.8333333333333335</v>
      </c>
      <c r="P104" s="5">
        <v>37</v>
      </c>
      <c r="Q104" s="13">
        <v>5</v>
      </c>
    </row>
    <row r="105" spans="1:17" ht="15.75" customHeight="1">
      <c r="A105" s="4">
        <v>7</v>
      </c>
      <c r="B105" s="13" t="s">
        <v>175</v>
      </c>
      <c r="C105" s="5" t="s">
        <v>361</v>
      </c>
      <c r="D105" s="4" t="s">
        <v>293</v>
      </c>
      <c r="E105" s="229"/>
      <c r="F105" s="72" t="s">
        <v>13</v>
      </c>
      <c r="G105" s="49"/>
      <c r="H105" s="87">
        <v>21.017999999999997</v>
      </c>
      <c r="I105" s="87">
        <v>63.053999999999988</v>
      </c>
      <c r="J105" s="87">
        <v>84.071999999999989</v>
      </c>
      <c r="K105" s="4">
        <v>62</v>
      </c>
      <c r="L105" s="71">
        <v>0.33899999999999997</v>
      </c>
      <c r="M105" s="4">
        <v>0.25</v>
      </c>
      <c r="N105" s="32">
        <v>0.28777589134125636</v>
      </c>
      <c r="O105" s="80">
        <v>3.6666666666666665</v>
      </c>
      <c r="P105" s="5">
        <v>16</v>
      </c>
      <c r="Q105" s="13">
        <v>6</v>
      </c>
    </row>
    <row r="106" spans="1:17" ht="15.75" customHeight="1">
      <c r="A106" s="4">
        <v>7</v>
      </c>
      <c r="B106" s="13" t="s">
        <v>175</v>
      </c>
      <c r="C106" s="5" t="s">
        <v>361</v>
      </c>
      <c r="D106" s="4" t="s">
        <v>293</v>
      </c>
      <c r="E106" s="229"/>
      <c r="F106" s="96" t="s">
        <v>16</v>
      </c>
      <c r="G106" s="49"/>
      <c r="H106" s="87">
        <v>24.985999999999997</v>
      </c>
      <c r="I106" s="87">
        <v>474.73399999999992</v>
      </c>
      <c r="J106" s="87">
        <v>499.71999999999991</v>
      </c>
      <c r="K106" s="4">
        <v>62</v>
      </c>
      <c r="L106" s="71">
        <v>0.40299999999999997</v>
      </c>
      <c r="M106" s="4">
        <v>0.05</v>
      </c>
      <c r="N106" s="32">
        <v>8.8962472406181034E-2</v>
      </c>
      <c r="O106" s="80">
        <v>7.666666666666667</v>
      </c>
      <c r="P106" s="5">
        <v>6</v>
      </c>
      <c r="Q106" s="13">
        <v>7</v>
      </c>
    </row>
    <row r="107" spans="1:17" ht="15.75" customHeight="1">
      <c r="A107" s="4">
        <v>7</v>
      </c>
      <c r="B107" s="13" t="s">
        <v>175</v>
      </c>
      <c r="C107" s="5" t="s">
        <v>361</v>
      </c>
      <c r="D107" s="4" t="s">
        <v>293</v>
      </c>
      <c r="E107" s="229"/>
      <c r="F107" s="85" t="s">
        <v>92</v>
      </c>
      <c r="G107" s="49"/>
      <c r="H107" s="87">
        <v>45.012</v>
      </c>
      <c r="I107" s="87">
        <v>2205.5879999999997</v>
      </c>
      <c r="J107" s="87">
        <v>2250.6</v>
      </c>
      <c r="K107" s="4">
        <v>62</v>
      </c>
      <c r="L107" s="71">
        <v>0.72599999999999998</v>
      </c>
      <c r="M107" s="4">
        <v>0.02</v>
      </c>
      <c r="N107" s="32">
        <v>3.892761394101877E-2</v>
      </c>
      <c r="O107" s="80">
        <v>8.6666666666666661</v>
      </c>
      <c r="P107" s="5">
        <v>5</v>
      </c>
      <c r="Q107" s="13">
        <v>8</v>
      </c>
    </row>
    <row r="108" spans="1:17" ht="15.75" customHeight="1">
      <c r="A108" s="4">
        <v>7</v>
      </c>
      <c r="B108" s="13" t="s">
        <v>175</v>
      </c>
      <c r="C108" s="5" t="s">
        <v>361</v>
      </c>
      <c r="D108" s="4" t="s">
        <v>293</v>
      </c>
      <c r="E108" s="229"/>
      <c r="F108" s="74" t="s">
        <v>193</v>
      </c>
      <c r="G108" s="49"/>
      <c r="H108" s="87">
        <v>9.9820000000000011</v>
      </c>
      <c r="I108" s="87">
        <v>24.438689655172418</v>
      </c>
      <c r="J108" s="87">
        <v>34.420689655172417</v>
      </c>
      <c r="K108" s="4">
        <v>62</v>
      </c>
      <c r="L108" s="71">
        <v>0.161</v>
      </c>
      <c r="M108" s="4">
        <v>0.28999999999999998</v>
      </c>
      <c r="N108" s="32">
        <v>0.20705099778270511</v>
      </c>
      <c r="O108" s="80">
        <v>11.5</v>
      </c>
      <c r="P108" s="5">
        <v>5</v>
      </c>
      <c r="Q108" s="13">
        <v>9</v>
      </c>
    </row>
    <row r="109" spans="1:17" ht="15.75" customHeight="1">
      <c r="A109" s="4">
        <v>7</v>
      </c>
      <c r="B109" s="13" t="s">
        <v>175</v>
      </c>
      <c r="C109" s="5" t="s">
        <v>361</v>
      </c>
      <c r="D109" s="4" t="s">
        <v>293</v>
      </c>
      <c r="E109" s="229"/>
      <c r="F109" s="75" t="s">
        <v>164</v>
      </c>
      <c r="G109" s="49"/>
      <c r="H109" s="87">
        <v>41.974000000000004</v>
      </c>
      <c r="I109" s="87">
        <v>30.394965517241388</v>
      </c>
      <c r="J109" s="87">
        <v>72.368965517241392</v>
      </c>
      <c r="K109" s="4">
        <v>62</v>
      </c>
      <c r="L109" s="71">
        <v>0.67700000000000005</v>
      </c>
      <c r="M109" s="4">
        <v>0.57999999999999996</v>
      </c>
      <c r="N109" s="32">
        <v>0.62475735879077166</v>
      </c>
      <c r="O109" s="80">
        <v>12.166666666666666</v>
      </c>
      <c r="P109" s="5">
        <v>6</v>
      </c>
      <c r="Q109" s="13">
        <v>10</v>
      </c>
    </row>
    <row r="110" spans="1:17" ht="15.75" customHeight="1">
      <c r="A110" s="4">
        <v>7</v>
      </c>
      <c r="B110" s="13" t="s">
        <v>175</v>
      </c>
      <c r="C110" s="5" t="s">
        <v>361</v>
      </c>
      <c r="D110" s="4" t="s">
        <v>293</v>
      </c>
      <c r="E110" s="229"/>
      <c r="F110" s="81" t="s">
        <v>21</v>
      </c>
      <c r="G110" s="49"/>
      <c r="H110" s="87">
        <v>33.975999999999999</v>
      </c>
      <c r="I110" s="87">
        <v>815.42399999999998</v>
      </c>
      <c r="J110" s="87">
        <v>849.4</v>
      </c>
      <c r="K110" s="4">
        <v>62</v>
      </c>
      <c r="L110" s="71">
        <v>0.54799999999999993</v>
      </c>
      <c r="M110" s="4">
        <v>0.04</v>
      </c>
      <c r="N110" s="32">
        <v>7.4557823129251702E-2</v>
      </c>
      <c r="O110" s="80">
        <v>12.5</v>
      </c>
      <c r="P110" s="5">
        <v>4</v>
      </c>
      <c r="Q110" s="13">
        <v>11</v>
      </c>
    </row>
    <row r="111" spans="1:17" ht="15.75" customHeight="1">
      <c r="A111" s="4">
        <v>7</v>
      </c>
      <c r="B111" s="13" t="s">
        <v>175</v>
      </c>
      <c r="C111" s="5" t="s">
        <v>361</v>
      </c>
      <c r="D111" s="4" t="s">
        <v>293</v>
      </c>
      <c r="E111" s="229"/>
      <c r="F111" s="4" t="s">
        <v>224</v>
      </c>
      <c r="G111" s="49"/>
      <c r="H111" s="87">
        <v>2.976</v>
      </c>
      <c r="I111" s="87">
        <v>30.090666666666671</v>
      </c>
      <c r="J111" s="87">
        <v>33.06666666666667</v>
      </c>
      <c r="K111" s="4">
        <v>62</v>
      </c>
      <c r="L111" s="71">
        <v>4.8000000000000001E-2</v>
      </c>
      <c r="M111" s="4">
        <v>0.09</v>
      </c>
      <c r="N111" s="32">
        <v>6.2608695652173904E-2</v>
      </c>
      <c r="O111" s="80">
        <v>14.666666666666666</v>
      </c>
      <c r="P111" s="5">
        <v>23</v>
      </c>
      <c r="Q111" s="13">
        <v>12</v>
      </c>
    </row>
    <row r="112" spans="1:17" ht="15.75" customHeight="1">
      <c r="A112" s="4">
        <v>7</v>
      </c>
      <c r="B112" s="13" t="s">
        <v>175</v>
      </c>
      <c r="C112" s="5" t="s">
        <v>361</v>
      </c>
      <c r="D112" s="4" t="s">
        <v>293</v>
      </c>
      <c r="E112" s="229"/>
      <c r="F112" s="4" t="s">
        <v>226</v>
      </c>
      <c r="G112" s="49"/>
      <c r="H112" s="87">
        <v>2.976</v>
      </c>
      <c r="I112" s="87">
        <v>71.423999999999992</v>
      </c>
      <c r="J112" s="87">
        <v>74.399999999999991</v>
      </c>
      <c r="K112" s="4">
        <v>62</v>
      </c>
      <c r="L112" s="71">
        <v>4.8000000000000001E-2</v>
      </c>
      <c r="M112" s="4">
        <v>0.04</v>
      </c>
      <c r="N112" s="32">
        <v>4.363636363636364E-2</v>
      </c>
      <c r="O112" s="80">
        <v>16.166666666666668</v>
      </c>
      <c r="P112" s="5">
        <v>24</v>
      </c>
      <c r="Q112" s="13">
        <v>13</v>
      </c>
    </row>
    <row r="113" spans="1:17" ht="15.75" customHeight="1">
      <c r="A113" s="4">
        <v>7</v>
      </c>
      <c r="B113" s="13" t="s">
        <v>175</v>
      </c>
      <c r="C113" s="5" t="s">
        <v>361</v>
      </c>
      <c r="D113" s="4" t="s">
        <v>293</v>
      </c>
      <c r="E113" s="229"/>
      <c r="F113" s="86" t="s">
        <v>99</v>
      </c>
      <c r="G113" s="49"/>
      <c r="H113" s="87">
        <v>0.99199999999999999</v>
      </c>
      <c r="I113" s="87">
        <v>3.968</v>
      </c>
      <c r="J113" s="87">
        <v>4.96</v>
      </c>
      <c r="K113" s="4">
        <v>62</v>
      </c>
      <c r="L113" s="71">
        <v>1.6E-2</v>
      </c>
      <c r="M113" s="4">
        <v>0.2</v>
      </c>
      <c r="N113" s="32">
        <v>2.9629629629629627E-2</v>
      </c>
      <c r="O113" s="80">
        <v>24.166666666666668</v>
      </c>
      <c r="P113" s="5">
        <v>14</v>
      </c>
      <c r="Q113" s="13">
        <v>14</v>
      </c>
    </row>
    <row r="114" spans="1:17" ht="15.75" customHeight="1">
      <c r="A114" s="4">
        <v>7</v>
      </c>
      <c r="B114" s="13" t="s">
        <v>175</v>
      </c>
      <c r="C114" s="5" t="s">
        <v>361</v>
      </c>
      <c r="D114" s="4" t="s">
        <v>293</v>
      </c>
      <c r="E114" s="229"/>
      <c r="F114" s="89" t="s">
        <v>23</v>
      </c>
      <c r="G114" s="49"/>
      <c r="H114" s="87">
        <v>15.004</v>
      </c>
      <c r="I114" s="87">
        <v>40.566370370370365</v>
      </c>
      <c r="J114" s="87">
        <v>55.570370370370362</v>
      </c>
      <c r="K114" s="4">
        <v>62</v>
      </c>
      <c r="L114" s="71">
        <v>0.24199999999999999</v>
      </c>
      <c r="M114" s="4">
        <v>0.27</v>
      </c>
      <c r="N114" s="32">
        <v>0.25523437500000001</v>
      </c>
      <c r="O114" s="80">
        <v>27.983333333333334</v>
      </c>
      <c r="P114" s="5">
        <v>8</v>
      </c>
      <c r="Q114" s="13">
        <v>15</v>
      </c>
    </row>
    <row r="115" spans="1:17" ht="15.75" customHeight="1">
      <c r="A115" s="4">
        <v>7</v>
      </c>
      <c r="B115" s="13" t="s">
        <v>175</v>
      </c>
      <c r="C115" s="5" t="s">
        <v>361</v>
      </c>
      <c r="D115" s="4" t="s">
        <v>293</v>
      </c>
      <c r="E115" s="232"/>
      <c r="F115" s="65" t="s">
        <v>25</v>
      </c>
      <c r="G115" s="49"/>
      <c r="H115" s="87">
        <v>2.976</v>
      </c>
      <c r="I115" s="87">
        <v>19.916307692307694</v>
      </c>
      <c r="J115" s="87">
        <v>22.892307692307693</v>
      </c>
      <c r="K115" s="4">
        <v>62</v>
      </c>
      <c r="L115" s="71">
        <v>4.8000000000000001E-2</v>
      </c>
      <c r="M115" s="4">
        <v>0.13</v>
      </c>
      <c r="N115" s="32">
        <v>7.0112359550561804E-2</v>
      </c>
      <c r="O115" s="80">
        <v>43.083333333333336</v>
      </c>
      <c r="P115" s="5">
        <v>6</v>
      </c>
      <c r="Q115" s="13">
        <v>16</v>
      </c>
    </row>
    <row r="116" spans="1:17" ht="15.75" customHeight="1">
      <c r="A116" s="4">
        <v>7</v>
      </c>
      <c r="B116" s="68" t="s">
        <v>175</v>
      </c>
      <c r="C116" s="90" t="s">
        <v>362</v>
      </c>
      <c r="D116" s="4" t="s">
        <v>293</v>
      </c>
      <c r="E116" s="233" t="s">
        <v>352</v>
      </c>
      <c r="F116" s="98" t="s">
        <v>14</v>
      </c>
      <c r="G116" s="99"/>
      <c r="H116" s="100">
        <v>22.005000000000003</v>
      </c>
      <c r="I116" s="100">
        <v>135.17357142857145</v>
      </c>
      <c r="J116" s="100">
        <v>157.17857142857144</v>
      </c>
      <c r="K116" s="101">
        <v>27</v>
      </c>
      <c r="L116" s="102">
        <v>0.81500000000000006</v>
      </c>
      <c r="M116" s="101">
        <v>0.14000000000000001</v>
      </c>
      <c r="N116" s="38">
        <v>0.23895287958115186</v>
      </c>
      <c r="O116" s="4"/>
      <c r="P116" s="5"/>
    </row>
    <row r="117" spans="1:17" ht="15.75" customHeight="1">
      <c r="A117" s="4">
        <v>7</v>
      </c>
      <c r="B117" s="13" t="s">
        <v>175</v>
      </c>
      <c r="C117" s="90" t="s">
        <v>362</v>
      </c>
      <c r="D117" s="4" t="s">
        <v>293</v>
      </c>
      <c r="E117" s="229"/>
      <c r="F117" s="91" t="s">
        <v>150</v>
      </c>
      <c r="G117" s="49"/>
      <c r="H117" s="87">
        <v>21.006</v>
      </c>
      <c r="I117" s="87">
        <v>63.018000000000001</v>
      </c>
      <c r="J117" s="87">
        <v>84.024000000000001</v>
      </c>
      <c r="K117" s="4">
        <v>27</v>
      </c>
      <c r="L117" s="71">
        <v>0.77800000000000002</v>
      </c>
      <c r="M117" s="4">
        <v>0.25</v>
      </c>
      <c r="N117" s="32">
        <v>0.37840466926070038</v>
      </c>
      <c r="O117" s="4"/>
      <c r="P117" s="5"/>
    </row>
    <row r="118" spans="1:17" ht="15.75" customHeight="1">
      <c r="A118" s="4">
        <v>7</v>
      </c>
      <c r="B118" s="13" t="s">
        <v>175</v>
      </c>
      <c r="C118" s="90" t="s">
        <v>362</v>
      </c>
      <c r="D118" s="4" t="s">
        <v>293</v>
      </c>
      <c r="E118" s="229"/>
      <c r="F118" s="74" t="s">
        <v>193</v>
      </c>
      <c r="G118" s="49"/>
      <c r="H118" s="87">
        <v>19.008000000000003</v>
      </c>
      <c r="I118" s="87">
        <v>42.308129032258073</v>
      </c>
      <c r="J118" s="87">
        <v>61.316129032258075</v>
      </c>
      <c r="K118" s="4">
        <v>27</v>
      </c>
      <c r="L118" s="71">
        <v>0.70400000000000007</v>
      </c>
      <c r="M118" s="4">
        <v>0.31</v>
      </c>
      <c r="N118" s="32">
        <v>0.43045364891518739</v>
      </c>
      <c r="O118" s="4"/>
      <c r="P118" s="5"/>
    </row>
    <row r="119" spans="1:17" ht="15.75" customHeight="1">
      <c r="A119" s="4">
        <v>7</v>
      </c>
      <c r="B119" s="13" t="s">
        <v>175</v>
      </c>
      <c r="C119" s="90" t="s">
        <v>362</v>
      </c>
      <c r="D119" s="4" t="s">
        <v>293</v>
      </c>
      <c r="E119" s="229"/>
      <c r="F119" s="95" t="s">
        <v>197</v>
      </c>
      <c r="G119" s="49"/>
      <c r="H119" s="87">
        <v>20.007000000000001</v>
      </c>
      <c r="I119" s="87">
        <v>980.34300000000007</v>
      </c>
      <c r="J119" s="87">
        <v>1000.35</v>
      </c>
      <c r="K119" s="4">
        <v>27</v>
      </c>
      <c r="L119" s="71">
        <v>0.74099999999999999</v>
      </c>
      <c r="M119" s="4">
        <v>0.02</v>
      </c>
      <c r="N119" s="32">
        <v>3.8948751642575559E-2</v>
      </c>
      <c r="O119" s="4"/>
      <c r="P119" s="5"/>
    </row>
    <row r="120" spans="1:17" ht="15.75" customHeight="1">
      <c r="A120" s="4">
        <v>7</v>
      </c>
      <c r="B120" s="68" t="s">
        <v>175</v>
      </c>
      <c r="C120" s="90" t="s">
        <v>362</v>
      </c>
      <c r="D120" s="4" t="s">
        <v>293</v>
      </c>
      <c r="E120" s="229"/>
      <c r="F120" s="103" t="s">
        <v>10</v>
      </c>
      <c r="G120" s="99"/>
      <c r="H120" s="100">
        <v>22.005000000000003</v>
      </c>
      <c r="I120" s="100">
        <v>51.345000000000006</v>
      </c>
      <c r="J120" s="100">
        <v>73.350000000000009</v>
      </c>
      <c r="K120" s="101">
        <v>27</v>
      </c>
      <c r="L120" s="102">
        <v>0.81500000000000006</v>
      </c>
      <c r="M120" s="101">
        <v>0.3</v>
      </c>
      <c r="N120" s="38">
        <v>0.43856502242152468</v>
      </c>
      <c r="O120" s="4"/>
      <c r="P120" s="5"/>
    </row>
    <row r="121" spans="1:17" ht="15.75" customHeight="1">
      <c r="A121" s="4">
        <v>7</v>
      </c>
      <c r="B121" s="13" t="s">
        <v>175</v>
      </c>
      <c r="C121" s="90" t="s">
        <v>362</v>
      </c>
      <c r="D121" s="4" t="s">
        <v>293</v>
      </c>
      <c r="E121" s="229"/>
      <c r="F121" s="76" t="s">
        <v>30</v>
      </c>
      <c r="G121" s="49"/>
      <c r="H121" s="87">
        <v>5.9939999999999998</v>
      </c>
      <c r="I121" s="87">
        <v>79.634571428571419</v>
      </c>
      <c r="J121" s="87">
        <v>85.628571428571419</v>
      </c>
      <c r="K121" s="4">
        <v>27</v>
      </c>
      <c r="L121" s="71">
        <v>0.222</v>
      </c>
      <c r="M121" s="4">
        <v>7.0000000000000007E-2</v>
      </c>
      <c r="N121" s="32">
        <v>0.10643835616438356</v>
      </c>
      <c r="O121" s="4"/>
      <c r="P121" s="5"/>
    </row>
    <row r="122" spans="1:17" ht="15.75" customHeight="1">
      <c r="A122" s="4">
        <v>7</v>
      </c>
      <c r="B122" s="13" t="s">
        <v>175</v>
      </c>
      <c r="C122" s="90" t="s">
        <v>362</v>
      </c>
      <c r="D122" s="4" t="s">
        <v>293</v>
      </c>
      <c r="E122" s="229"/>
      <c r="F122" s="96" t="s">
        <v>16</v>
      </c>
      <c r="G122" s="49"/>
      <c r="H122" s="87">
        <v>16.010999999999999</v>
      </c>
      <c r="I122" s="87">
        <v>107.15053846153846</v>
      </c>
      <c r="J122" s="87">
        <v>123.16153846153846</v>
      </c>
      <c r="K122" s="4">
        <v>27</v>
      </c>
      <c r="L122" s="71">
        <v>0.59299999999999997</v>
      </c>
      <c r="M122" s="4">
        <v>0.13</v>
      </c>
      <c r="N122" s="32">
        <v>0.21325034578146615</v>
      </c>
      <c r="O122" s="4"/>
      <c r="P122" s="5"/>
    </row>
    <row r="123" spans="1:17" ht="15.75" customHeight="1">
      <c r="A123" s="4">
        <v>7</v>
      </c>
      <c r="B123" s="13" t="s">
        <v>175</v>
      </c>
      <c r="C123" s="90" t="s">
        <v>362</v>
      </c>
      <c r="D123" s="4" t="s">
        <v>293</v>
      </c>
      <c r="E123" s="229"/>
      <c r="F123" s="104" t="s">
        <v>13</v>
      </c>
      <c r="G123" s="99"/>
      <c r="H123" s="100">
        <v>20.007000000000001</v>
      </c>
      <c r="I123" s="100">
        <v>24.452999999999999</v>
      </c>
      <c r="J123" s="100">
        <v>44.46</v>
      </c>
      <c r="K123" s="101">
        <v>27</v>
      </c>
      <c r="L123" s="102">
        <v>0.74099999999999999</v>
      </c>
      <c r="M123" s="101">
        <v>0.45</v>
      </c>
      <c r="N123" s="38">
        <v>0.55994962216624689</v>
      </c>
      <c r="O123" s="4"/>
      <c r="P123" s="5"/>
    </row>
    <row r="124" spans="1:17" ht="15.75" customHeight="1">
      <c r="A124" s="4">
        <v>7</v>
      </c>
      <c r="B124" s="13" t="s">
        <v>175</v>
      </c>
      <c r="C124" s="90" t="s">
        <v>362</v>
      </c>
      <c r="D124" s="4" t="s">
        <v>293</v>
      </c>
      <c r="E124" s="229"/>
      <c r="F124" s="65" t="s">
        <v>25</v>
      </c>
      <c r="G124" s="49"/>
      <c r="H124" s="87">
        <v>17.010000000000002</v>
      </c>
      <c r="I124" s="87">
        <v>21.649090909090912</v>
      </c>
      <c r="J124" s="87">
        <v>38.659090909090914</v>
      </c>
      <c r="K124" s="4">
        <v>27</v>
      </c>
      <c r="L124" s="71">
        <v>0.63</v>
      </c>
      <c r="M124" s="4">
        <v>0.44</v>
      </c>
      <c r="N124" s="32">
        <v>0.51813084112149532</v>
      </c>
      <c r="O124" s="4"/>
      <c r="P124" s="5"/>
    </row>
    <row r="125" spans="1:17" ht="15.75" customHeight="1">
      <c r="A125" s="4">
        <v>7</v>
      </c>
      <c r="B125" s="13" t="s">
        <v>175</v>
      </c>
      <c r="C125" s="90" t="s">
        <v>362</v>
      </c>
      <c r="D125" s="4" t="s">
        <v>293</v>
      </c>
      <c r="E125" s="229"/>
      <c r="F125" s="81" t="s">
        <v>21</v>
      </c>
      <c r="G125" s="49"/>
      <c r="H125" s="87">
        <v>23.004000000000001</v>
      </c>
      <c r="I125" s="87">
        <v>2277.3960000000002</v>
      </c>
      <c r="J125" s="87">
        <v>2300.4</v>
      </c>
      <c r="K125" s="4">
        <v>27</v>
      </c>
      <c r="L125" s="71">
        <v>0.85200000000000009</v>
      </c>
      <c r="M125" s="4">
        <v>0.01</v>
      </c>
      <c r="N125" s="32">
        <v>1.9767981438515082E-2</v>
      </c>
      <c r="O125" s="4"/>
      <c r="P125" s="5"/>
    </row>
    <row r="126" spans="1:17" ht="15.75" customHeight="1">
      <c r="A126" s="4">
        <v>7</v>
      </c>
      <c r="B126" s="13" t="s">
        <v>175</v>
      </c>
      <c r="C126" s="90" t="s">
        <v>362</v>
      </c>
      <c r="D126" s="4" t="s">
        <v>293</v>
      </c>
      <c r="E126" s="229"/>
      <c r="F126" s="85" t="s">
        <v>92</v>
      </c>
      <c r="G126" s="49"/>
      <c r="H126" s="87">
        <v>17.010000000000002</v>
      </c>
      <c r="I126" s="87">
        <v>68.039999999999992</v>
      </c>
      <c r="J126" s="87">
        <v>85.05</v>
      </c>
      <c r="K126" s="4">
        <v>27</v>
      </c>
      <c r="L126" s="71">
        <v>0.63</v>
      </c>
      <c r="M126" s="4">
        <v>0.2</v>
      </c>
      <c r="N126" s="32">
        <v>0.30361445783132529</v>
      </c>
      <c r="O126" s="4"/>
      <c r="P126" s="5"/>
    </row>
    <row r="127" spans="1:17" ht="15.75" customHeight="1">
      <c r="A127" s="4">
        <v>7</v>
      </c>
      <c r="B127" s="13" t="s">
        <v>175</v>
      </c>
      <c r="C127" s="90" t="s">
        <v>362</v>
      </c>
      <c r="D127" s="4" t="s">
        <v>293</v>
      </c>
      <c r="E127" s="229"/>
      <c r="F127" s="89" t="s">
        <v>23</v>
      </c>
      <c r="G127" s="49"/>
      <c r="H127" s="87">
        <v>18.009</v>
      </c>
      <c r="I127" s="87">
        <v>42.021000000000001</v>
      </c>
      <c r="J127" s="87">
        <v>60.03</v>
      </c>
      <c r="K127" s="4">
        <v>27</v>
      </c>
      <c r="L127" s="71">
        <v>0.66700000000000004</v>
      </c>
      <c r="M127" s="4">
        <v>0.3</v>
      </c>
      <c r="N127" s="32">
        <v>0.41385729058945186</v>
      </c>
      <c r="O127" s="4"/>
      <c r="P127" s="5"/>
    </row>
    <row r="128" spans="1:17" ht="15.75" customHeight="1">
      <c r="A128" s="4">
        <v>7</v>
      </c>
      <c r="B128" s="13" t="s">
        <v>175</v>
      </c>
      <c r="C128" s="90" t="s">
        <v>362</v>
      </c>
      <c r="D128" s="4" t="s">
        <v>293</v>
      </c>
      <c r="E128" s="229"/>
      <c r="F128" s="75" t="s">
        <v>164</v>
      </c>
      <c r="G128" s="49"/>
      <c r="H128" s="87">
        <v>20.007000000000001</v>
      </c>
      <c r="I128" s="87">
        <v>97.681235294117641</v>
      </c>
      <c r="J128" s="87">
        <v>117.68823529411765</v>
      </c>
      <c r="K128" s="4">
        <v>27</v>
      </c>
      <c r="L128" s="71">
        <v>0.74099999999999999</v>
      </c>
      <c r="M128" s="4">
        <v>0.17</v>
      </c>
      <c r="N128" s="32">
        <v>0.27655323819978045</v>
      </c>
      <c r="O128" s="4"/>
      <c r="P128" s="5"/>
    </row>
    <row r="129" spans="1:16" ht="15.75" customHeight="1">
      <c r="A129" s="4">
        <v>7</v>
      </c>
      <c r="B129" s="13" t="s">
        <v>175</v>
      </c>
      <c r="C129" s="90" t="s">
        <v>362</v>
      </c>
      <c r="D129" s="4" t="s">
        <v>293</v>
      </c>
      <c r="E129" s="229"/>
      <c r="F129" s="86" t="s">
        <v>99</v>
      </c>
      <c r="G129" s="49"/>
      <c r="H129" s="87">
        <v>11.988</v>
      </c>
      <c r="I129" s="87">
        <v>27.972000000000001</v>
      </c>
      <c r="J129" s="87">
        <v>39.96</v>
      </c>
      <c r="K129" s="4">
        <v>27</v>
      </c>
      <c r="L129" s="71">
        <v>0.44400000000000001</v>
      </c>
      <c r="M129" s="4">
        <v>0.3</v>
      </c>
      <c r="N129" s="32">
        <v>0.35806451612903223</v>
      </c>
      <c r="O129" s="4"/>
      <c r="P129" s="5"/>
    </row>
    <row r="130" spans="1:16" ht="15.75" customHeight="1">
      <c r="A130" s="4">
        <v>7</v>
      </c>
      <c r="B130" s="13" t="s">
        <v>175</v>
      </c>
      <c r="C130" s="90" t="s">
        <v>362</v>
      </c>
      <c r="D130" s="4" t="s">
        <v>293</v>
      </c>
      <c r="E130" s="229"/>
      <c r="F130" s="4" t="s">
        <v>224</v>
      </c>
      <c r="G130" s="49"/>
      <c r="H130" s="87">
        <v>16.010999999999999</v>
      </c>
      <c r="I130" s="87">
        <v>34.023375000000001</v>
      </c>
      <c r="J130" s="87">
        <v>50.034374999999997</v>
      </c>
      <c r="K130" s="4">
        <v>27</v>
      </c>
      <c r="L130" s="71">
        <v>0.59299999999999997</v>
      </c>
      <c r="M130" s="4">
        <v>0.32</v>
      </c>
      <c r="N130" s="32">
        <v>0.41568455640744795</v>
      </c>
      <c r="O130" s="4"/>
      <c r="P130" s="5"/>
    </row>
    <row r="131" spans="1:16" ht="15.75" customHeight="1">
      <c r="A131" s="4">
        <v>7</v>
      </c>
      <c r="B131" s="13" t="s">
        <v>175</v>
      </c>
      <c r="C131" s="90" t="s">
        <v>362</v>
      </c>
      <c r="D131" s="4" t="s">
        <v>293</v>
      </c>
      <c r="E131" s="232"/>
      <c r="F131" s="4" t="s">
        <v>226</v>
      </c>
      <c r="G131" s="49"/>
      <c r="H131" s="87">
        <v>9.99</v>
      </c>
      <c r="I131" s="87">
        <v>132.72428571428568</v>
      </c>
      <c r="J131" s="87">
        <v>142.71428571428569</v>
      </c>
      <c r="K131" s="4">
        <v>27</v>
      </c>
      <c r="L131" s="71">
        <v>0.37</v>
      </c>
      <c r="M131" s="4">
        <v>7.0000000000000007E-2</v>
      </c>
      <c r="N131" s="32">
        <v>0.11772727272727274</v>
      </c>
      <c r="O131" s="4"/>
      <c r="P131" s="5"/>
    </row>
    <row r="132" spans="1:16" ht="15.75" customHeight="1">
      <c r="A132" s="4">
        <v>7</v>
      </c>
      <c r="B132" s="13" t="s">
        <v>175</v>
      </c>
      <c r="C132" s="94" t="s">
        <v>363</v>
      </c>
      <c r="D132" s="4" t="s">
        <v>293</v>
      </c>
      <c r="E132" s="233" t="s">
        <v>352</v>
      </c>
      <c r="F132" s="98" t="s">
        <v>14</v>
      </c>
      <c r="G132" s="99"/>
      <c r="H132" s="100">
        <v>45.045000000000002</v>
      </c>
      <c r="I132" s="100">
        <v>110.28258620689657</v>
      </c>
      <c r="J132" s="100">
        <v>155.32758620689657</v>
      </c>
      <c r="K132" s="101">
        <v>99</v>
      </c>
      <c r="L132" s="102">
        <v>0.45500000000000002</v>
      </c>
      <c r="M132" s="101">
        <v>0.28999999999999998</v>
      </c>
      <c r="N132" s="38">
        <v>0.35422818791946303</v>
      </c>
      <c r="O132" s="4"/>
      <c r="P132" s="5"/>
    </row>
    <row r="133" spans="1:16" ht="15.75" customHeight="1">
      <c r="A133" s="4">
        <v>7</v>
      </c>
      <c r="B133" s="13" t="s">
        <v>175</v>
      </c>
      <c r="C133" s="94" t="s">
        <v>363</v>
      </c>
      <c r="D133" s="4" t="s">
        <v>293</v>
      </c>
      <c r="E133" s="229"/>
      <c r="F133" s="91" t="s">
        <v>150</v>
      </c>
      <c r="G133" s="49"/>
      <c r="H133" s="87">
        <v>35.045999999999999</v>
      </c>
      <c r="I133" s="87">
        <v>50.432048780487811</v>
      </c>
      <c r="J133" s="87">
        <v>85.478048780487811</v>
      </c>
      <c r="K133" s="4">
        <v>99</v>
      </c>
      <c r="L133" s="71">
        <v>0.35399999999999998</v>
      </c>
      <c r="M133" s="4">
        <v>0.41</v>
      </c>
      <c r="N133" s="32">
        <v>0.37994764397905756</v>
      </c>
      <c r="O133" s="4"/>
      <c r="P133" s="5"/>
    </row>
    <row r="134" spans="1:16" ht="15.75" customHeight="1">
      <c r="A134" s="4">
        <v>7</v>
      </c>
      <c r="B134" s="13" t="s">
        <v>175</v>
      </c>
      <c r="C134" s="94" t="s">
        <v>363</v>
      </c>
      <c r="D134" s="4" t="s">
        <v>293</v>
      </c>
      <c r="E134" s="229"/>
      <c r="F134" s="74" t="s">
        <v>193</v>
      </c>
      <c r="G134" s="49"/>
      <c r="H134" s="87">
        <v>25.047000000000001</v>
      </c>
      <c r="I134" s="87">
        <v>37.570499999999996</v>
      </c>
      <c r="J134" s="87">
        <v>62.6175</v>
      </c>
      <c r="K134" s="4">
        <v>99</v>
      </c>
      <c r="L134" s="71">
        <v>0.253</v>
      </c>
      <c r="M134" s="4">
        <v>0.4</v>
      </c>
      <c r="N134" s="32">
        <v>0.30995405819295563</v>
      </c>
      <c r="O134" s="4"/>
      <c r="P134" s="5"/>
    </row>
    <row r="135" spans="1:16" ht="15.75" customHeight="1">
      <c r="A135" s="4">
        <v>7</v>
      </c>
      <c r="B135" s="13" t="s">
        <v>175</v>
      </c>
      <c r="C135" s="94" t="s">
        <v>363</v>
      </c>
      <c r="D135" s="4" t="s">
        <v>293</v>
      </c>
      <c r="E135" s="229"/>
      <c r="F135" s="95" t="s">
        <v>197</v>
      </c>
      <c r="G135" s="49"/>
      <c r="H135" s="87">
        <v>40.985999999999997</v>
      </c>
      <c r="I135" s="87">
        <v>983.66399999999987</v>
      </c>
      <c r="J135" s="87">
        <v>1024.6499999999999</v>
      </c>
      <c r="K135" s="4">
        <v>99</v>
      </c>
      <c r="L135" s="71">
        <v>0.41399999999999998</v>
      </c>
      <c r="M135" s="4">
        <v>0.04</v>
      </c>
      <c r="N135" s="32">
        <v>7.2951541850220264E-2</v>
      </c>
      <c r="O135" s="4"/>
      <c r="P135" s="5"/>
    </row>
    <row r="136" spans="1:16" ht="15.75" customHeight="1">
      <c r="A136" s="4">
        <v>7</v>
      </c>
      <c r="B136" s="13" t="s">
        <v>175</v>
      </c>
      <c r="C136" s="94" t="s">
        <v>363</v>
      </c>
      <c r="D136" s="4" t="s">
        <v>293</v>
      </c>
      <c r="E136" s="229"/>
      <c r="F136" s="103" t="s">
        <v>10</v>
      </c>
      <c r="G136" s="99"/>
      <c r="H136" s="100">
        <v>40.985999999999997</v>
      </c>
      <c r="I136" s="100">
        <v>33.533999999999985</v>
      </c>
      <c r="J136" s="100">
        <v>74.519999999999982</v>
      </c>
      <c r="K136" s="101">
        <v>99</v>
      </c>
      <c r="L136" s="102">
        <v>0.41399999999999998</v>
      </c>
      <c r="M136" s="101">
        <v>0.55000000000000004</v>
      </c>
      <c r="N136" s="38">
        <v>0.47240663900414942</v>
      </c>
      <c r="O136" s="4"/>
      <c r="P136" s="5"/>
    </row>
    <row r="137" spans="1:16" ht="15.75" customHeight="1">
      <c r="A137" s="4">
        <v>7</v>
      </c>
      <c r="B137" s="13" t="s">
        <v>175</v>
      </c>
      <c r="C137" s="94" t="s">
        <v>363</v>
      </c>
      <c r="D137" s="4" t="s">
        <v>293</v>
      </c>
      <c r="E137" s="229"/>
      <c r="F137" s="76" t="s">
        <v>30</v>
      </c>
      <c r="G137" s="49"/>
      <c r="H137" s="87">
        <v>8.0190000000000001</v>
      </c>
      <c r="I137" s="87">
        <v>81.081000000000003</v>
      </c>
      <c r="J137" s="87">
        <v>89.100000000000009</v>
      </c>
      <c r="K137" s="4">
        <v>99</v>
      </c>
      <c r="L137" s="71">
        <v>8.1000000000000003E-2</v>
      </c>
      <c r="M137" s="4">
        <v>0.09</v>
      </c>
      <c r="N137" s="32">
        <v>8.5263157894736846E-2</v>
      </c>
      <c r="O137" s="4"/>
      <c r="P137" s="5"/>
    </row>
    <row r="138" spans="1:16" ht="15.75" customHeight="1">
      <c r="A138" s="4">
        <v>7</v>
      </c>
      <c r="B138" s="13" t="s">
        <v>175</v>
      </c>
      <c r="C138" s="94" t="s">
        <v>363</v>
      </c>
      <c r="D138" s="4" t="s">
        <v>293</v>
      </c>
      <c r="E138" s="229"/>
      <c r="F138" s="96" t="s">
        <v>16</v>
      </c>
      <c r="G138" s="49"/>
      <c r="H138" s="87">
        <v>22.968</v>
      </c>
      <c r="I138" s="87">
        <v>97.91621052631578</v>
      </c>
      <c r="J138" s="87">
        <v>120.88421052631578</v>
      </c>
      <c r="K138" s="4">
        <v>99</v>
      </c>
      <c r="L138" s="71">
        <v>0.23199999999999998</v>
      </c>
      <c r="M138" s="4">
        <v>0.19</v>
      </c>
      <c r="N138" s="32">
        <v>0.20890995260663506</v>
      </c>
      <c r="O138" s="4"/>
      <c r="P138" s="5"/>
    </row>
    <row r="139" spans="1:16" ht="15.75" customHeight="1">
      <c r="A139" s="4">
        <v>7</v>
      </c>
      <c r="B139" s="13" t="s">
        <v>175</v>
      </c>
      <c r="C139" s="94" t="s">
        <v>363</v>
      </c>
      <c r="D139" s="4" t="s">
        <v>293</v>
      </c>
      <c r="E139" s="229"/>
      <c r="F139" s="104" t="s">
        <v>13</v>
      </c>
      <c r="G139" s="99"/>
      <c r="H139" s="100">
        <v>27.027000000000001</v>
      </c>
      <c r="I139" s="100">
        <v>17.27955737704918</v>
      </c>
      <c r="J139" s="100">
        <v>44.306557377049181</v>
      </c>
      <c r="K139" s="101">
        <v>99</v>
      </c>
      <c r="L139" s="102">
        <v>0.27300000000000002</v>
      </c>
      <c r="M139" s="101">
        <v>0.61</v>
      </c>
      <c r="N139" s="38">
        <v>0.37719139297848248</v>
      </c>
      <c r="O139" s="4"/>
      <c r="P139" s="5"/>
    </row>
    <row r="140" spans="1:16" ht="15.75" customHeight="1">
      <c r="A140" s="4">
        <v>7</v>
      </c>
      <c r="B140" s="13" t="s">
        <v>175</v>
      </c>
      <c r="C140" s="94" t="s">
        <v>363</v>
      </c>
      <c r="D140" s="4" t="s">
        <v>293</v>
      </c>
      <c r="E140" s="229"/>
      <c r="F140" s="65" t="s">
        <v>25</v>
      </c>
      <c r="G140" s="49"/>
      <c r="H140" s="87">
        <v>20.988</v>
      </c>
      <c r="I140" s="87">
        <v>17.87866666666666</v>
      </c>
      <c r="J140" s="87">
        <v>38.86666666666666</v>
      </c>
      <c r="K140" s="4">
        <v>99</v>
      </c>
      <c r="L140" s="71">
        <v>0.21199999999999999</v>
      </c>
      <c r="M140" s="4">
        <v>0.54</v>
      </c>
      <c r="N140" s="32">
        <v>0.30446808510638296</v>
      </c>
      <c r="O140" s="4"/>
      <c r="P140" s="5"/>
    </row>
    <row r="141" spans="1:16" ht="15.75" customHeight="1">
      <c r="A141" s="4">
        <v>7</v>
      </c>
      <c r="B141" s="13" t="s">
        <v>175</v>
      </c>
      <c r="C141" s="94" t="s">
        <v>363</v>
      </c>
      <c r="D141" s="4" t="s">
        <v>293</v>
      </c>
      <c r="E141" s="229"/>
      <c r="F141" s="81" t="s">
        <v>21</v>
      </c>
      <c r="G141" s="49"/>
      <c r="H141" s="87">
        <v>40.985999999999997</v>
      </c>
      <c r="I141" s="87">
        <v>1325.2139999999999</v>
      </c>
      <c r="J141" s="87">
        <v>1366.2</v>
      </c>
      <c r="K141" s="4">
        <v>99</v>
      </c>
      <c r="L141" s="71">
        <v>0.41399999999999998</v>
      </c>
      <c r="M141" s="4">
        <v>0.03</v>
      </c>
      <c r="N141" s="32">
        <v>5.5945945945945944E-2</v>
      </c>
      <c r="O141" s="4"/>
      <c r="P141" s="5"/>
    </row>
    <row r="142" spans="1:16" ht="15.75" customHeight="1">
      <c r="A142" s="4">
        <v>7</v>
      </c>
      <c r="B142" s="13" t="s">
        <v>175</v>
      </c>
      <c r="C142" s="94" t="s">
        <v>363</v>
      </c>
      <c r="D142" s="4" t="s">
        <v>293</v>
      </c>
      <c r="E142" s="229"/>
      <c r="F142" s="85" t="s">
        <v>92</v>
      </c>
      <c r="G142" s="49"/>
      <c r="H142" s="87">
        <v>21.978000000000002</v>
      </c>
      <c r="I142" s="87">
        <v>62.552769230769236</v>
      </c>
      <c r="J142" s="87">
        <v>84.530769230769238</v>
      </c>
      <c r="K142" s="4">
        <v>99</v>
      </c>
      <c r="L142" s="71">
        <v>0.222</v>
      </c>
      <c r="M142" s="4">
        <v>0.26</v>
      </c>
      <c r="N142" s="32">
        <v>0.2395020746887967</v>
      </c>
      <c r="O142" s="4"/>
      <c r="P142" s="5"/>
    </row>
    <row r="143" spans="1:16" ht="15.75" customHeight="1">
      <c r="A143" s="4">
        <v>7</v>
      </c>
      <c r="B143" s="13" t="s">
        <v>175</v>
      </c>
      <c r="C143" s="94" t="s">
        <v>363</v>
      </c>
      <c r="D143" s="4" t="s">
        <v>293</v>
      </c>
      <c r="E143" s="229"/>
      <c r="F143" s="89" t="s">
        <v>23</v>
      </c>
      <c r="G143" s="49"/>
      <c r="H143" s="87">
        <v>28.017000000000003</v>
      </c>
      <c r="I143" s="87">
        <v>31.593638297872346</v>
      </c>
      <c r="J143" s="87">
        <v>59.610638297872349</v>
      </c>
      <c r="K143" s="4">
        <v>99</v>
      </c>
      <c r="L143" s="71">
        <v>0.28300000000000003</v>
      </c>
      <c r="M143" s="4">
        <v>0.47</v>
      </c>
      <c r="N143" s="32">
        <v>0.3532802124833998</v>
      </c>
      <c r="O143" s="4"/>
      <c r="P143" s="5"/>
    </row>
    <row r="144" spans="1:16" ht="15.75" customHeight="1">
      <c r="A144" s="4">
        <v>7</v>
      </c>
      <c r="B144" s="13" t="s">
        <v>175</v>
      </c>
      <c r="C144" s="94" t="s">
        <v>363</v>
      </c>
      <c r="D144" s="4" t="s">
        <v>293</v>
      </c>
      <c r="E144" s="229"/>
      <c r="F144" s="75" t="s">
        <v>164</v>
      </c>
      <c r="G144" s="49"/>
      <c r="H144" s="87">
        <v>36.036000000000001</v>
      </c>
      <c r="I144" s="87">
        <v>84.084000000000003</v>
      </c>
      <c r="J144" s="87">
        <v>120.12</v>
      </c>
      <c r="K144" s="4">
        <v>99</v>
      </c>
      <c r="L144" s="71">
        <v>0.36399999999999999</v>
      </c>
      <c r="M144" s="4">
        <v>0.3</v>
      </c>
      <c r="N144" s="32">
        <v>0.3289156626506024</v>
      </c>
      <c r="O144" s="4"/>
      <c r="P144" s="5"/>
    </row>
    <row r="145" spans="1:17" ht="15.75" customHeight="1">
      <c r="A145" s="4">
        <v>7</v>
      </c>
      <c r="B145" s="13" t="s">
        <v>175</v>
      </c>
      <c r="C145" s="94" t="s">
        <v>363</v>
      </c>
      <c r="D145" s="4" t="s">
        <v>293</v>
      </c>
      <c r="E145" s="229"/>
      <c r="F145" s="86" t="s">
        <v>99</v>
      </c>
      <c r="G145" s="49"/>
      <c r="H145" s="87">
        <v>15.048</v>
      </c>
      <c r="I145" s="87">
        <v>24.552</v>
      </c>
      <c r="J145" s="87">
        <v>39.6</v>
      </c>
      <c r="K145" s="4">
        <v>99</v>
      </c>
      <c r="L145" s="71">
        <v>0.152</v>
      </c>
      <c r="M145" s="4">
        <v>0.38</v>
      </c>
      <c r="N145" s="32">
        <v>0.21714285714285714</v>
      </c>
      <c r="O145" s="4"/>
      <c r="P145" s="5"/>
    </row>
    <row r="146" spans="1:17" ht="15.75" customHeight="1">
      <c r="A146" s="4">
        <v>7</v>
      </c>
      <c r="B146" s="13" t="s">
        <v>175</v>
      </c>
      <c r="C146" s="94" t="s">
        <v>363</v>
      </c>
      <c r="D146" s="4" t="s">
        <v>293</v>
      </c>
      <c r="E146" s="229"/>
      <c r="F146" s="4" t="s">
        <v>224</v>
      </c>
      <c r="G146" s="49"/>
      <c r="H146" s="87">
        <v>26.037000000000003</v>
      </c>
      <c r="I146" s="87">
        <v>24.034153846153846</v>
      </c>
      <c r="J146" s="87">
        <v>50.071153846153848</v>
      </c>
      <c r="K146" s="4">
        <v>99</v>
      </c>
      <c r="L146" s="71">
        <v>0.26300000000000001</v>
      </c>
      <c r="M146" s="4">
        <v>0.52</v>
      </c>
      <c r="N146" s="32">
        <v>0.349323116219668</v>
      </c>
      <c r="O146" s="4"/>
      <c r="P146" s="5"/>
    </row>
    <row r="147" spans="1:17" ht="15.75" customHeight="1">
      <c r="A147" s="4">
        <v>7</v>
      </c>
      <c r="B147" s="13" t="s">
        <v>175</v>
      </c>
      <c r="C147" s="94" t="s">
        <v>363</v>
      </c>
      <c r="D147" s="4" t="s">
        <v>293</v>
      </c>
      <c r="E147" s="232"/>
      <c r="F147" s="4" t="s">
        <v>226</v>
      </c>
      <c r="G147" s="49"/>
      <c r="H147" s="87">
        <v>17.027999999999999</v>
      </c>
      <c r="I147" s="87">
        <v>124.87200000000001</v>
      </c>
      <c r="J147" s="87">
        <v>141.9</v>
      </c>
      <c r="K147" s="4">
        <v>99</v>
      </c>
      <c r="L147" s="71">
        <v>0.17199999999999999</v>
      </c>
      <c r="M147" s="4">
        <v>0.12</v>
      </c>
      <c r="N147" s="32">
        <v>0.14136986301369864</v>
      </c>
      <c r="O147" s="4"/>
      <c r="P147" s="5"/>
    </row>
    <row r="148" spans="1:17" ht="15.75" customHeight="1">
      <c r="A148" s="4">
        <v>8</v>
      </c>
      <c r="B148" s="13" t="s">
        <v>234</v>
      </c>
      <c r="C148" s="4" t="s">
        <v>370</v>
      </c>
      <c r="D148" s="4" t="s">
        <v>293</v>
      </c>
      <c r="E148" s="4"/>
      <c r="F148" s="105" t="s">
        <v>365</v>
      </c>
      <c r="G148" s="49"/>
      <c r="H148" s="29">
        <v>40</v>
      </c>
      <c r="I148" s="29">
        <v>27</v>
      </c>
      <c r="J148" s="29">
        <v>67</v>
      </c>
      <c r="K148" s="5">
        <v>53</v>
      </c>
      <c r="L148" s="4">
        <v>0.755</v>
      </c>
      <c r="M148" s="4">
        <v>0.59699999999999998</v>
      </c>
      <c r="N148" s="4">
        <v>0.66700000000000004</v>
      </c>
      <c r="O148" s="4"/>
      <c r="P148" s="4"/>
      <c r="Q148" s="4"/>
    </row>
    <row r="149" spans="1:17" ht="15.75" customHeight="1">
      <c r="A149" s="4">
        <v>8</v>
      </c>
      <c r="B149" s="13" t="s">
        <v>234</v>
      </c>
      <c r="C149" s="4" t="s">
        <v>370</v>
      </c>
      <c r="D149" s="4" t="s">
        <v>293</v>
      </c>
      <c r="E149" s="4"/>
      <c r="F149" s="105" t="s">
        <v>243</v>
      </c>
      <c r="G149" s="49"/>
      <c r="H149" s="29">
        <v>42</v>
      </c>
      <c r="I149" s="29">
        <v>37</v>
      </c>
      <c r="J149" s="29">
        <v>79</v>
      </c>
      <c r="K149" s="5">
        <v>53</v>
      </c>
      <c r="L149" s="4">
        <v>0.79200000000000004</v>
      </c>
      <c r="M149" s="4">
        <v>0.53200000000000003</v>
      </c>
      <c r="N149" s="4">
        <v>0.63600000000000001</v>
      </c>
      <c r="O149" s="4"/>
      <c r="P149" s="4"/>
      <c r="Q149" s="4"/>
    </row>
    <row r="150" spans="1:17" ht="15.75" customHeight="1">
      <c r="A150" s="4">
        <v>8</v>
      </c>
      <c r="B150" s="13" t="s">
        <v>234</v>
      </c>
      <c r="C150" s="4" t="s">
        <v>370</v>
      </c>
      <c r="D150" s="4" t="s">
        <v>293</v>
      </c>
      <c r="E150" s="4"/>
      <c r="F150" s="69" t="s">
        <v>14</v>
      </c>
      <c r="G150" s="49"/>
      <c r="H150" s="29">
        <v>42</v>
      </c>
      <c r="I150" s="29">
        <v>148</v>
      </c>
      <c r="J150" s="29">
        <v>190</v>
      </c>
      <c r="K150" s="5">
        <v>53</v>
      </c>
      <c r="L150" s="4">
        <v>0.79200000000000004</v>
      </c>
      <c r="M150" s="4">
        <v>0.221</v>
      </c>
      <c r="N150" s="4">
        <v>0.34600000000000003</v>
      </c>
      <c r="O150" s="4"/>
      <c r="P150" s="4"/>
      <c r="Q150" s="4"/>
    </row>
    <row r="151" spans="1:17" ht="15.75" customHeight="1">
      <c r="A151" s="4">
        <v>8</v>
      </c>
      <c r="B151" s="13" t="s">
        <v>234</v>
      </c>
      <c r="C151" s="4" t="s">
        <v>370</v>
      </c>
      <c r="D151" s="4" t="s">
        <v>293</v>
      </c>
      <c r="E151" s="4"/>
      <c r="F151" s="44" t="s">
        <v>10</v>
      </c>
      <c r="G151" s="49"/>
      <c r="H151" s="29">
        <v>41</v>
      </c>
      <c r="I151" s="29">
        <v>31</v>
      </c>
      <c r="J151" s="29">
        <v>72</v>
      </c>
      <c r="K151" s="5">
        <v>53</v>
      </c>
      <c r="L151" s="4">
        <v>0.77400000000000002</v>
      </c>
      <c r="M151" s="4">
        <v>0.56899999999999995</v>
      </c>
      <c r="N151" s="4">
        <v>0.65599999999999992</v>
      </c>
      <c r="O151" s="4"/>
      <c r="P151" s="4"/>
      <c r="Q151" s="4"/>
    </row>
    <row r="152" spans="1:17" ht="15.75" customHeight="1">
      <c r="A152" s="4">
        <v>8</v>
      </c>
      <c r="B152" s="68" t="s">
        <v>234</v>
      </c>
      <c r="C152" s="4" t="s">
        <v>370</v>
      </c>
      <c r="D152" s="4" t="s">
        <v>293</v>
      </c>
      <c r="E152" s="4"/>
      <c r="F152" s="5" t="s">
        <v>19</v>
      </c>
      <c r="G152" s="49"/>
      <c r="H152" s="29">
        <v>39</v>
      </c>
      <c r="I152" s="29">
        <v>119</v>
      </c>
      <c r="J152" s="29">
        <v>158</v>
      </c>
      <c r="K152" s="5">
        <v>53</v>
      </c>
      <c r="L152" s="4">
        <v>0.73599999999999999</v>
      </c>
      <c r="M152" s="4">
        <v>0.247</v>
      </c>
      <c r="N152" s="4">
        <v>0.37</v>
      </c>
      <c r="O152" s="4"/>
      <c r="P152" s="4"/>
      <c r="Q152" s="4"/>
    </row>
    <row r="153" spans="1:17" ht="15.75" customHeight="1">
      <c r="A153" s="4">
        <v>8</v>
      </c>
      <c r="B153" s="13" t="s">
        <v>234</v>
      </c>
      <c r="C153" s="4" t="s">
        <v>370</v>
      </c>
      <c r="D153" s="4" t="s">
        <v>293</v>
      </c>
      <c r="E153" s="4"/>
      <c r="F153" s="73" t="s">
        <v>321</v>
      </c>
      <c r="G153" s="49"/>
      <c r="H153" s="29">
        <v>34</v>
      </c>
      <c r="I153" s="29">
        <v>123</v>
      </c>
      <c r="J153" s="29">
        <v>157</v>
      </c>
      <c r="K153" s="5">
        <v>53</v>
      </c>
      <c r="L153" s="4">
        <v>0.64200000000000002</v>
      </c>
      <c r="M153" s="4">
        <v>0.217</v>
      </c>
      <c r="N153" s="4">
        <v>0.32400000000000001</v>
      </c>
      <c r="O153" s="4"/>
      <c r="P153" s="4"/>
      <c r="Q153" s="4"/>
    </row>
    <row r="154" spans="1:17" ht="15.75" customHeight="1">
      <c r="A154" s="4">
        <v>8</v>
      </c>
      <c r="B154" s="13" t="s">
        <v>234</v>
      </c>
      <c r="C154" s="4" t="s">
        <v>370</v>
      </c>
      <c r="D154" s="4" t="s">
        <v>293</v>
      </c>
      <c r="E154" s="4"/>
      <c r="F154" s="96" t="s">
        <v>16</v>
      </c>
      <c r="G154" s="49"/>
      <c r="H154" s="29">
        <v>29</v>
      </c>
      <c r="I154" s="29">
        <v>118</v>
      </c>
      <c r="J154" s="29">
        <v>147</v>
      </c>
      <c r="K154" s="5">
        <v>53</v>
      </c>
      <c r="L154" s="4">
        <v>0.54700000000000004</v>
      </c>
      <c r="M154" s="4">
        <v>0.19699999999999998</v>
      </c>
      <c r="N154" s="4">
        <v>0.28999999999999998</v>
      </c>
      <c r="O154" s="4"/>
      <c r="P154" s="4"/>
      <c r="Q154" s="4"/>
    </row>
    <row r="155" spans="1:17" ht="15.75" customHeight="1">
      <c r="A155" s="4">
        <v>8</v>
      </c>
      <c r="B155" s="13" t="s">
        <v>234</v>
      </c>
      <c r="C155" s="4" t="s">
        <v>370</v>
      </c>
      <c r="D155" s="4" t="s">
        <v>293</v>
      </c>
      <c r="E155" s="4"/>
      <c r="F155" s="4" t="s">
        <v>224</v>
      </c>
      <c r="G155" s="49"/>
      <c r="H155" s="29">
        <v>37</v>
      </c>
      <c r="I155" s="29">
        <v>39</v>
      </c>
      <c r="J155" s="29">
        <v>76</v>
      </c>
      <c r="K155" s="5">
        <v>53</v>
      </c>
      <c r="L155" s="4">
        <v>0.69799999999999995</v>
      </c>
      <c r="M155" s="4">
        <v>0.48700000000000004</v>
      </c>
      <c r="N155" s="4">
        <v>0.57399999999999995</v>
      </c>
      <c r="O155" s="4"/>
      <c r="P155" s="4"/>
      <c r="Q155" s="4"/>
    </row>
    <row r="156" spans="1:17" ht="15.75" customHeight="1">
      <c r="A156" s="4">
        <v>8</v>
      </c>
      <c r="B156" s="13" t="s">
        <v>234</v>
      </c>
      <c r="C156" s="4" t="s">
        <v>370</v>
      </c>
      <c r="D156" s="4" t="s">
        <v>293</v>
      </c>
      <c r="E156" s="4"/>
      <c r="F156" s="88" t="s">
        <v>91</v>
      </c>
      <c r="G156" s="49"/>
      <c r="H156" s="29">
        <v>30</v>
      </c>
      <c r="I156" s="29">
        <v>74</v>
      </c>
      <c r="J156" s="29">
        <v>104</v>
      </c>
      <c r="K156" s="5">
        <v>53</v>
      </c>
      <c r="L156" s="4">
        <v>0.56600000000000006</v>
      </c>
      <c r="M156" s="4">
        <v>0.28800000000000003</v>
      </c>
      <c r="N156" s="4">
        <v>0.38200000000000001</v>
      </c>
      <c r="O156" s="4"/>
      <c r="P156" s="4"/>
      <c r="Q156" s="4"/>
    </row>
    <row r="157" spans="1:17" ht="15.75" customHeight="1">
      <c r="A157" s="4">
        <v>8</v>
      </c>
      <c r="B157" s="13" t="s">
        <v>234</v>
      </c>
      <c r="C157" s="4" t="s">
        <v>371</v>
      </c>
      <c r="D157" s="4" t="s">
        <v>293</v>
      </c>
      <c r="E157" s="228" t="s">
        <v>372</v>
      </c>
      <c r="F157" s="105" t="s">
        <v>365</v>
      </c>
      <c r="G157" s="49"/>
      <c r="H157" s="28">
        <v>16</v>
      </c>
      <c r="I157" s="28">
        <v>10</v>
      </c>
      <c r="J157" s="28">
        <v>26</v>
      </c>
      <c r="K157" s="4">
        <v>17</v>
      </c>
      <c r="L157" s="4">
        <v>0.94099999999999995</v>
      </c>
      <c r="M157" s="4">
        <v>0.61499999999999999</v>
      </c>
      <c r="N157" s="4">
        <v>0.74400000000000011</v>
      </c>
      <c r="O157" s="4"/>
      <c r="P157" s="4"/>
      <c r="Q157" s="4"/>
    </row>
    <row r="158" spans="1:17" ht="15.75" customHeight="1">
      <c r="A158" s="4">
        <v>8</v>
      </c>
      <c r="B158" s="13" t="s">
        <v>234</v>
      </c>
      <c r="C158" s="4" t="s">
        <v>371</v>
      </c>
      <c r="D158" s="4" t="s">
        <v>293</v>
      </c>
      <c r="E158" s="229"/>
      <c r="F158" s="105" t="s">
        <v>243</v>
      </c>
      <c r="G158" s="49"/>
      <c r="H158" s="28">
        <v>17</v>
      </c>
      <c r="I158" s="28">
        <v>26</v>
      </c>
      <c r="J158" s="28">
        <v>43</v>
      </c>
      <c r="K158" s="4">
        <v>17</v>
      </c>
      <c r="L158" s="4">
        <v>1</v>
      </c>
      <c r="M158" s="4">
        <v>0.39500000000000002</v>
      </c>
      <c r="N158" s="4">
        <v>0.56600000000000006</v>
      </c>
      <c r="O158" s="4"/>
      <c r="P158" s="4"/>
      <c r="Q158" s="4"/>
    </row>
    <row r="159" spans="1:17" ht="15.75" customHeight="1">
      <c r="A159" s="4">
        <v>8</v>
      </c>
      <c r="B159" s="13" t="s">
        <v>234</v>
      </c>
      <c r="C159" s="4" t="s">
        <v>371</v>
      </c>
      <c r="D159" s="4" t="s">
        <v>293</v>
      </c>
      <c r="E159" s="229"/>
      <c r="F159" s="69" t="s">
        <v>14</v>
      </c>
      <c r="G159" s="49"/>
      <c r="H159" s="28">
        <v>15</v>
      </c>
      <c r="I159" s="28">
        <v>314</v>
      </c>
      <c r="J159" s="28">
        <v>329</v>
      </c>
      <c r="K159" s="4">
        <v>17</v>
      </c>
      <c r="L159" s="4">
        <v>0.88200000000000001</v>
      </c>
      <c r="M159" s="4">
        <v>4.5999999999999999E-2</v>
      </c>
      <c r="N159" s="4">
        <v>8.6999999999999994E-2</v>
      </c>
      <c r="O159" s="4"/>
      <c r="P159" s="4"/>
      <c r="Q159" s="4"/>
    </row>
    <row r="160" spans="1:17" ht="15.75" customHeight="1">
      <c r="A160" s="4">
        <v>8</v>
      </c>
      <c r="B160" s="13" t="s">
        <v>234</v>
      </c>
      <c r="C160" s="4" t="s">
        <v>371</v>
      </c>
      <c r="D160" s="4" t="s">
        <v>293</v>
      </c>
      <c r="E160" s="229"/>
      <c r="F160" s="44" t="s">
        <v>10</v>
      </c>
      <c r="G160" s="49"/>
      <c r="H160" s="28">
        <v>10</v>
      </c>
      <c r="I160" s="28">
        <v>37</v>
      </c>
      <c r="J160" s="28">
        <v>47</v>
      </c>
      <c r="K160" s="4">
        <v>17</v>
      </c>
      <c r="L160" s="4">
        <v>0.58799999999999997</v>
      </c>
      <c r="M160" s="4">
        <v>0.21299999999999999</v>
      </c>
      <c r="N160" s="4">
        <v>0.313</v>
      </c>
      <c r="O160" s="4"/>
      <c r="P160" s="4"/>
      <c r="Q160" s="4"/>
    </row>
    <row r="161" spans="1:17" ht="15.75" customHeight="1">
      <c r="A161" s="4">
        <v>8</v>
      </c>
      <c r="B161" s="13" t="s">
        <v>234</v>
      </c>
      <c r="C161" s="4" t="s">
        <v>371</v>
      </c>
      <c r="D161" s="4" t="s">
        <v>293</v>
      </c>
      <c r="E161" s="229"/>
      <c r="F161" s="5" t="s">
        <v>19</v>
      </c>
      <c r="G161" s="49"/>
      <c r="H161" s="28">
        <v>14</v>
      </c>
      <c r="I161" s="28">
        <v>90</v>
      </c>
      <c r="J161" s="28">
        <v>104</v>
      </c>
      <c r="K161" s="4">
        <v>17</v>
      </c>
      <c r="L161" s="4">
        <v>0.82400000000000007</v>
      </c>
      <c r="M161" s="4">
        <v>0.13500000000000001</v>
      </c>
      <c r="N161" s="4">
        <v>0.23199999999999998</v>
      </c>
      <c r="O161" s="4"/>
      <c r="P161" s="4"/>
      <c r="Q161" s="4"/>
    </row>
    <row r="162" spans="1:17" ht="15.75" customHeight="1">
      <c r="A162" s="4">
        <v>8</v>
      </c>
      <c r="B162" s="13" t="s">
        <v>234</v>
      </c>
      <c r="C162" s="4" t="s">
        <v>371</v>
      </c>
      <c r="D162" s="4" t="s">
        <v>293</v>
      </c>
      <c r="E162" s="229"/>
      <c r="F162" s="73" t="s">
        <v>321</v>
      </c>
      <c r="G162" s="49"/>
      <c r="H162" s="28">
        <v>16</v>
      </c>
      <c r="I162" s="28">
        <v>327</v>
      </c>
      <c r="J162" s="28">
        <v>343</v>
      </c>
      <c r="K162" s="4">
        <v>17</v>
      </c>
      <c r="L162" s="4">
        <v>0.94099999999999995</v>
      </c>
      <c r="M162" s="4">
        <v>4.7E-2</v>
      </c>
      <c r="N162" s="4">
        <v>0.09</v>
      </c>
      <c r="O162" s="4"/>
      <c r="P162" s="4"/>
      <c r="Q162" s="4"/>
    </row>
    <row r="163" spans="1:17" ht="15.75" customHeight="1">
      <c r="A163" s="4">
        <v>8</v>
      </c>
      <c r="B163" s="13" t="s">
        <v>234</v>
      </c>
      <c r="C163" s="4" t="s">
        <v>371</v>
      </c>
      <c r="D163" s="4" t="s">
        <v>293</v>
      </c>
      <c r="E163" s="229"/>
      <c r="F163" s="96" t="s">
        <v>16</v>
      </c>
      <c r="G163" s="49"/>
      <c r="H163" s="28">
        <v>9</v>
      </c>
      <c r="I163" s="28">
        <v>343</v>
      </c>
      <c r="J163" s="28">
        <v>352</v>
      </c>
      <c r="K163" s="4">
        <v>17</v>
      </c>
      <c r="L163" s="4">
        <v>0.52900000000000003</v>
      </c>
      <c r="M163" s="4">
        <v>2.6000000000000002E-2</v>
      </c>
      <c r="N163" s="4">
        <v>0.05</v>
      </c>
      <c r="O163" s="4"/>
      <c r="P163" s="4"/>
      <c r="Q163" s="4"/>
    </row>
    <row r="164" spans="1:17" ht="15.75" customHeight="1">
      <c r="A164" s="4">
        <v>8</v>
      </c>
      <c r="B164" s="13" t="s">
        <v>234</v>
      </c>
      <c r="C164" s="4" t="s">
        <v>371</v>
      </c>
      <c r="D164" s="4" t="s">
        <v>293</v>
      </c>
      <c r="E164" s="230"/>
      <c r="F164" s="4" t="s">
        <v>224</v>
      </c>
      <c r="G164" s="49"/>
      <c r="H164" s="28">
        <v>11</v>
      </c>
      <c r="I164" s="28">
        <v>39</v>
      </c>
      <c r="J164" s="28">
        <v>50</v>
      </c>
      <c r="K164" s="4">
        <v>17</v>
      </c>
      <c r="L164" s="4">
        <v>0.64700000000000002</v>
      </c>
      <c r="M164" s="4">
        <v>0.22</v>
      </c>
      <c r="N164" s="4">
        <v>0.32799999999999996</v>
      </c>
      <c r="O164" s="4"/>
      <c r="P164" s="4"/>
      <c r="Q164" s="4"/>
    </row>
    <row r="165" spans="1:17" ht="15.75" customHeight="1">
      <c r="A165" s="4">
        <v>8</v>
      </c>
      <c r="B165" s="13" t="s">
        <v>234</v>
      </c>
      <c r="C165" s="4" t="s">
        <v>371</v>
      </c>
      <c r="D165" s="4" t="s">
        <v>293</v>
      </c>
      <c r="E165" s="4"/>
      <c r="F165" s="88" t="s">
        <v>91</v>
      </c>
      <c r="G165" s="49"/>
      <c r="H165" s="28">
        <v>11</v>
      </c>
      <c r="I165" s="28">
        <v>29</v>
      </c>
      <c r="J165" s="28">
        <v>40</v>
      </c>
      <c r="K165" s="4">
        <v>17</v>
      </c>
      <c r="L165" s="4">
        <v>0.64700000000000002</v>
      </c>
      <c r="M165" s="4">
        <v>0.27500000000000002</v>
      </c>
      <c r="N165" s="4">
        <v>0.38600000000000001</v>
      </c>
      <c r="O165" s="4"/>
      <c r="P165" s="4"/>
      <c r="Q165" s="4"/>
    </row>
    <row r="166" spans="1:17" ht="15.75" customHeight="1">
      <c r="A166" s="4">
        <v>8</v>
      </c>
      <c r="B166" s="13" t="s">
        <v>234</v>
      </c>
      <c r="C166" s="4" t="s">
        <v>373</v>
      </c>
      <c r="D166" s="4" t="s">
        <v>293</v>
      </c>
      <c r="E166" s="4"/>
      <c r="F166" s="30" t="s">
        <v>365</v>
      </c>
      <c r="G166" s="49"/>
      <c r="H166" s="4">
        <v>12</v>
      </c>
      <c r="I166" s="4">
        <v>1</v>
      </c>
      <c r="J166" s="4">
        <v>13</v>
      </c>
      <c r="K166" s="4">
        <v>12</v>
      </c>
      <c r="L166" s="4">
        <v>1</v>
      </c>
      <c r="M166" s="4">
        <v>0.92299999999999993</v>
      </c>
      <c r="N166" s="4">
        <v>0.96</v>
      </c>
      <c r="O166" s="4"/>
      <c r="P166" s="4"/>
      <c r="Q166" s="4"/>
    </row>
    <row r="167" spans="1:17" ht="15.75" customHeight="1">
      <c r="A167" s="4">
        <v>8</v>
      </c>
      <c r="B167" s="13" t="s">
        <v>234</v>
      </c>
      <c r="C167" s="4" t="s">
        <v>373</v>
      </c>
      <c r="D167" s="4" t="s">
        <v>293</v>
      </c>
      <c r="E167" s="4"/>
      <c r="F167" s="30" t="s">
        <v>243</v>
      </c>
      <c r="G167" s="49"/>
      <c r="H167" s="4">
        <v>12</v>
      </c>
      <c r="I167" s="4">
        <v>1</v>
      </c>
      <c r="J167" s="4">
        <v>13</v>
      </c>
      <c r="K167" s="4">
        <v>12</v>
      </c>
      <c r="L167" s="4">
        <v>1</v>
      </c>
      <c r="M167" s="4">
        <v>0.92299999999999993</v>
      </c>
      <c r="N167" s="4">
        <v>0.96</v>
      </c>
      <c r="O167" s="4"/>
      <c r="P167" s="4"/>
      <c r="Q167" s="4"/>
    </row>
    <row r="168" spans="1:17" ht="15.75" customHeight="1">
      <c r="A168" s="4">
        <v>8</v>
      </c>
      <c r="B168" s="13" t="s">
        <v>234</v>
      </c>
      <c r="C168" s="4" t="s">
        <v>373</v>
      </c>
      <c r="D168" s="4" t="s">
        <v>293</v>
      </c>
      <c r="E168" s="4"/>
      <c r="F168" s="69" t="s">
        <v>14</v>
      </c>
      <c r="G168" s="49"/>
      <c r="H168" s="4">
        <v>12</v>
      </c>
      <c r="I168" s="4">
        <v>8</v>
      </c>
      <c r="J168" s="4">
        <v>20</v>
      </c>
      <c r="K168" s="4">
        <v>12</v>
      </c>
      <c r="L168" s="4">
        <v>1</v>
      </c>
      <c r="M168" s="4">
        <v>0.6</v>
      </c>
      <c r="N168" s="4">
        <v>0.75</v>
      </c>
      <c r="O168" s="4"/>
      <c r="P168" s="4"/>
      <c r="Q168" s="4"/>
    </row>
    <row r="169" spans="1:17" ht="15.75" customHeight="1">
      <c r="A169" s="4">
        <v>8</v>
      </c>
      <c r="B169" s="13" t="s">
        <v>234</v>
      </c>
      <c r="C169" s="4" t="s">
        <v>373</v>
      </c>
      <c r="D169" s="4" t="s">
        <v>293</v>
      </c>
      <c r="E169" s="4"/>
      <c r="F169" s="44" t="s">
        <v>10</v>
      </c>
      <c r="G169" s="49"/>
      <c r="H169" s="4">
        <v>11</v>
      </c>
      <c r="I169" s="4">
        <v>3</v>
      </c>
      <c r="J169" s="4">
        <v>14</v>
      </c>
      <c r="K169" s="4">
        <v>12</v>
      </c>
      <c r="L169" s="4">
        <v>0.91700000000000004</v>
      </c>
      <c r="M169" s="4">
        <v>0.78599999999999992</v>
      </c>
      <c r="N169" s="4">
        <v>0.84599999999999997</v>
      </c>
      <c r="O169" s="4"/>
      <c r="P169" s="4"/>
      <c r="Q169" s="4"/>
    </row>
    <row r="170" spans="1:17" ht="15.75" customHeight="1">
      <c r="A170" s="4">
        <v>8</v>
      </c>
      <c r="B170" s="13" t="s">
        <v>234</v>
      </c>
      <c r="C170" s="4" t="s">
        <v>373</v>
      </c>
      <c r="D170" s="4" t="s">
        <v>293</v>
      </c>
      <c r="E170" s="4"/>
      <c r="F170" s="5" t="s">
        <v>19</v>
      </c>
      <c r="G170" s="49"/>
      <c r="H170" s="4">
        <v>12</v>
      </c>
      <c r="I170" s="4">
        <v>3</v>
      </c>
      <c r="J170" s="4">
        <v>15</v>
      </c>
      <c r="K170" s="4">
        <v>12</v>
      </c>
      <c r="L170" s="4">
        <v>1</v>
      </c>
      <c r="M170" s="4">
        <v>0.8</v>
      </c>
      <c r="N170" s="4">
        <v>0.88900000000000001</v>
      </c>
      <c r="O170" s="4"/>
      <c r="P170" s="4"/>
      <c r="Q170" s="4"/>
    </row>
    <row r="171" spans="1:17" ht="15.75" customHeight="1">
      <c r="A171" s="4">
        <v>8</v>
      </c>
      <c r="B171" s="13" t="s">
        <v>234</v>
      </c>
      <c r="C171" s="4" t="s">
        <v>373</v>
      </c>
      <c r="D171" s="4" t="s">
        <v>293</v>
      </c>
      <c r="E171" s="4"/>
      <c r="F171" s="73" t="s">
        <v>321</v>
      </c>
      <c r="G171" s="49"/>
      <c r="H171" s="4">
        <v>10</v>
      </c>
      <c r="I171" s="4">
        <v>6</v>
      </c>
      <c r="J171" s="4">
        <v>16</v>
      </c>
      <c r="K171" s="4">
        <v>12</v>
      </c>
      <c r="L171" s="4">
        <v>0.83299999999999996</v>
      </c>
      <c r="M171" s="4">
        <v>0.625</v>
      </c>
      <c r="N171" s="4">
        <v>0.71400000000000008</v>
      </c>
      <c r="O171" s="4"/>
      <c r="P171" s="4"/>
      <c r="Q171" s="4"/>
    </row>
    <row r="172" spans="1:17" ht="15.75" customHeight="1">
      <c r="A172" s="4">
        <v>8</v>
      </c>
      <c r="B172" s="13" t="s">
        <v>234</v>
      </c>
      <c r="C172" s="4" t="s">
        <v>373</v>
      </c>
      <c r="D172" s="4" t="s">
        <v>293</v>
      </c>
      <c r="E172" s="4"/>
      <c r="F172" s="96" t="s">
        <v>16</v>
      </c>
      <c r="G172" s="49"/>
      <c r="H172" s="4">
        <v>10</v>
      </c>
      <c r="I172" s="4">
        <v>23</v>
      </c>
      <c r="J172" s="4">
        <v>33</v>
      </c>
      <c r="K172" s="4">
        <v>12</v>
      </c>
      <c r="L172" s="4">
        <v>0.83299999999999996</v>
      </c>
      <c r="M172" s="4">
        <v>0.30299999999999999</v>
      </c>
      <c r="N172" s="4">
        <v>0.44400000000000001</v>
      </c>
      <c r="O172" s="4"/>
      <c r="P172" s="4"/>
      <c r="Q172" s="4"/>
    </row>
    <row r="173" spans="1:17" ht="15.75" customHeight="1">
      <c r="A173" s="4">
        <v>8</v>
      </c>
      <c r="B173" s="13" t="s">
        <v>234</v>
      </c>
      <c r="C173" s="4" t="s">
        <v>373</v>
      </c>
      <c r="D173" s="4" t="s">
        <v>293</v>
      </c>
      <c r="E173" s="4"/>
      <c r="F173" s="4" t="s">
        <v>224</v>
      </c>
      <c r="G173" s="49"/>
      <c r="H173" s="4">
        <v>5</v>
      </c>
      <c r="I173" s="4">
        <v>5</v>
      </c>
      <c r="J173" s="4">
        <v>10</v>
      </c>
      <c r="K173" s="4">
        <v>12</v>
      </c>
      <c r="L173" s="4">
        <v>0.41700000000000004</v>
      </c>
      <c r="M173" s="4">
        <v>0.5</v>
      </c>
      <c r="N173" s="4">
        <v>0.45500000000000002</v>
      </c>
      <c r="O173" s="4"/>
      <c r="P173" s="4"/>
      <c r="Q173" s="4"/>
    </row>
    <row r="174" spans="1:17" ht="15.75" customHeight="1">
      <c r="A174" s="4">
        <v>8</v>
      </c>
      <c r="B174" s="68" t="s">
        <v>234</v>
      </c>
      <c r="C174" s="4" t="s">
        <v>373</v>
      </c>
      <c r="D174" s="4" t="s">
        <v>293</v>
      </c>
      <c r="E174" s="4"/>
      <c r="F174" s="88" t="s">
        <v>91</v>
      </c>
      <c r="G174" s="49"/>
      <c r="H174" s="4">
        <v>12</v>
      </c>
      <c r="I174" s="4">
        <v>3</v>
      </c>
      <c r="J174" s="4">
        <v>15</v>
      </c>
      <c r="K174" s="4">
        <v>12</v>
      </c>
      <c r="L174" s="4">
        <v>1</v>
      </c>
      <c r="M174" s="4">
        <v>0.8</v>
      </c>
      <c r="N174" s="4">
        <v>0.88900000000000001</v>
      </c>
      <c r="O174" s="4"/>
      <c r="P174" s="4"/>
      <c r="Q174" s="4"/>
    </row>
    <row r="175" spans="1:17" ht="15.75" customHeight="1">
      <c r="A175" s="4">
        <v>9</v>
      </c>
      <c r="B175" s="68" t="s">
        <v>246</v>
      </c>
      <c r="C175" s="4" t="s">
        <v>374</v>
      </c>
      <c r="D175" s="4" t="s">
        <v>293</v>
      </c>
      <c r="E175" s="4"/>
      <c r="F175" s="3" t="s">
        <v>247</v>
      </c>
      <c r="G175" s="49"/>
      <c r="H175" s="4"/>
      <c r="I175" s="4"/>
      <c r="J175" s="4"/>
      <c r="K175" s="4">
        <v>138</v>
      </c>
      <c r="L175" s="4">
        <v>0.89</v>
      </c>
      <c r="M175" s="4">
        <v>0.81</v>
      </c>
      <c r="N175" s="4">
        <v>0.84811764705882353</v>
      </c>
      <c r="O175" s="4"/>
      <c r="P175" s="4"/>
      <c r="Q175" s="4"/>
    </row>
    <row r="176" spans="1:17" ht="15.75" customHeight="1">
      <c r="A176" s="4">
        <v>9</v>
      </c>
      <c r="B176" s="68" t="s">
        <v>246</v>
      </c>
      <c r="C176" s="4" t="s">
        <v>374</v>
      </c>
      <c r="D176" s="4" t="s">
        <v>293</v>
      </c>
      <c r="E176" s="4"/>
      <c r="F176" s="3" t="s">
        <v>248</v>
      </c>
      <c r="G176" s="49"/>
      <c r="H176" s="4"/>
      <c r="I176" s="4"/>
      <c r="J176" s="4"/>
      <c r="K176" s="4">
        <v>138</v>
      </c>
      <c r="L176" s="4">
        <v>0.67</v>
      </c>
      <c r="M176" s="4">
        <v>0.85</v>
      </c>
      <c r="N176" s="4">
        <v>0.74934210526315792</v>
      </c>
      <c r="O176" s="4"/>
      <c r="P176" s="4"/>
      <c r="Q176" s="4"/>
    </row>
    <row r="177" spans="1:17" ht="15.75" customHeight="1">
      <c r="A177" s="4">
        <v>9</v>
      </c>
      <c r="B177" s="13" t="s">
        <v>246</v>
      </c>
      <c r="C177" s="4" t="s">
        <v>374</v>
      </c>
      <c r="D177" s="4" t="s">
        <v>293</v>
      </c>
      <c r="E177" s="4"/>
      <c r="F177" s="3" t="s">
        <v>249</v>
      </c>
      <c r="G177" s="49"/>
      <c r="H177" s="4"/>
      <c r="I177" s="4"/>
      <c r="J177" s="4"/>
      <c r="K177" s="4">
        <v>138</v>
      </c>
      <c r="L177" s="4">
        <v>0.46</v>
      </c>
      <c r="M177" s="4">
        <v>0.93</v>
      </c>
      <c r="N177" s="4">
        <v>0.61553956834532375</v>
      </c>
      <c r="O177" s="4"/>
      <c r="P177" s="4"/>
      <c r="Q177" s="4"/>
    </row>
    <row r="178" spans="1:17" ht="15.75" customHeight="1">
      <c r="A178" s="4">
        <v>9</v>
      </c>
      <c r="B178" s="13" t="s">
        <v>246</v>
      </c>
      <c r="C178" s="4" t="s">
        <v>374</v>
      </c>
      <c r="D178" s="4" t="s">
        <v>293</v>
      </c>
      <c r="E178" s="4"/>
      <c r="F178" s="3" t="s">
        <v>250</v>
      </c>
      <c r="G178" s="49"/>
      <c r="H178" s="4"/>
      <c r="I178" s="4"/>
      <c r="J178" s="4"/>
      <c r="K178" s="4">
        <v>138</v>
      </c>
      <c r="L178" s="4">
        <v>0.42</v>
      </c>
      <c r="M178" s="4">
        <v>0.85</v>
      </c>
      <c r="N178" s="4">
        <v>0.5622047244094488</v>
      </c>
      <c r="O178" s="4"/>
      <c r="P178" s="4"/>
      <c r="Q178" s="4"/>
    </row>
    <row r="179" spans="1:17" ht="15.75" customHeight="1">
      <c r="A179" s="4">
        <v>9</v>
      </c>
      <c r="B179" s="13" t="s">
        <v>246</v>
      </c>
      <c r="C179" s="4" t="s">
        <v>374</v>
      </c>
      <c r="D179" s="4" t="s">
        <v>293</v>
      </c>
      <c r="E179" s="4"/>
      <c r="F179" s="57" t="s">
        <v>82</v>
      </c>
      <c r="G179" s="49"/>
      <c r="H179" s="4">
        <v>45</v>
      </c>
      <c r="I179" s="4"/>
      <c r="J179" s="4"/>
      <c r="K179" s="4">
        <v>138</v>
      </c>
      <c r="L179" s="4">
        <v>0.33</v>
      </c>
      <c r="M179" s="4">
        <v>0.44</v>
      </c>
      <c r="N179" s="4">
        <v>0.37714285714285717</v>
      </c>
      <c r="O179" s="4"/>
      <c r="P179" s="4"/>
      <c r="Q179" s="4"/>
    </row>
    <row r="180" spans="1:17" ht="15.75" customHeight="1">
      <c r="A180" s="4">
        <v>9</v>
      </c>
      <c r="B180" s="13" t="s">
        <v>246</v>
      </c>
      <c r="C180" s="4" t="s">
        <v>374</v>
      </c>
      <c r="D180" s="4" t="s">
        <v>293</v>
      </c>
      <c r="E180" s="4"/>
      <c r="F180" s="81" t="s">
        <v>21</v>
      </c>
      <c r="G180" s="49"/>
      <c r="H180" s="4"/>
      <c r="I180" s="4"/>
      <c r="J180" s="4"/>
      <c r="K180" s="4">
        <v>138</v>
      </c>
      <c r="L180" s="4">
        <v>0.28999999999999998</v>
      </c>
      <c r="M180" s="4">
        <v>0.74</v>
      </c>
      <c r="N180" s="4">
        <v>0.41669902912621359</v>
      </c>
      <c r="O180" s="4"/>
      <c r="P180" s="4"/>
      <c r="Q180" s="4"/>
    </row>
    <row r="181" spans="1:17" ht="15.75" customHeight="1">
      <c r="A181" s="4">
        <v>9</v>
      </c>
      <c r="B181" s="13" t="s">
        <v>246</v>
      </c>
      <c r="C181" s="4" t="s">
        <v>374</v>
      </c>
      <c r="D181" s="4" t="s">
        <v>293</v>
      </c>
      <c r="E181" s="4"/>
      <c r="F181" s="72" t="s">
        <v>13</v>
      </c>
      <c r="G181" s="49"/>
      <c r="H181" s="4"/>
      <c r="I181" s="4"/>
      <c r="J181" s="4"/>
      <c r="K181" s="4">
        <v>138</v>
      </c>
      <c r="L181" s="4">
        <v>0.25</v>
      </c>
      <c r="M181" s="4">
        <v>0.95</v>
      </c>
      <c r="N181" s="4">
        <v>0.39583333333333337</v>
      </c>
      <c r="O181" s="4"/>
      <c r="P181" s="4"/>
      <c r="Q181" s="4"/>
    </row>
    <row r="182" spans="1:17" ht="15.75" customHeight="1">
      <c r="A182" s="4">
        <v>9</v>
      </c>
      <c r="B182" s="13" t="s">
        <v>246</v>
      </c>
      <c r="C182" s="4" t="s">
        <v>374</v>
      </c>
      <c r="D182" s="4" t="s">
        <v>293</v>
      </c>
      <c r="E182" s="4"/>
      <c r="F182" s="86" t="s">
        <v>99</v>
      </c>
      <c r="G182" s="49"/>
      <c r="H182" s="4"/>
      <c r="I182" s="4"/>
      <c r="J182" s="4"/>
      <c r="K182" s="4">
        <v>138</v>
      </c>
      <c r="L182" s="4">
        <v>0.1</v>
      </c>
      <c r="M182" s="4">
        <v>1</v>
      </c>
      <c r="N182" s="4">
        <v>0.18181818181818182</v>
      </c>
      <c r="O182" s="4"/>
      <c r="P182" s="4"/>
      <c r="Q182" s="4"/>
    </row>
    <row r="183" spans="1:17" ht="15.75" customHeight="1">
      <c r="A183" s="4">
        <v>9</v>
      </c>
      <c r="B183" s="13" t="s">
        <v>246</v>
      </c>
      <c r="C183" s="4" t="s">
        <v>374</v>
      </c>
      <c r="D183" s="4" t="s">
        <v>293</v>
      </c>
      <c r="E183" s="4"/>
      <c r="F183" s="6" t="s">
        <v>251</v>
      </c>
      <c r="G183" s="49"/>
      <c r="H183" s="4"/>
      <c r="I183" s="4"/>
      <c r="J183" s="4"/>
      <c r="K183" s="4">
        <v>138</v>
      </c>
      <c r="L183" s="4">
        <v>0.1</v>
      </c>
      <c r="M183" s="4">
        <v>1</v>
      </c>
      <c r="N183" s="4">
        <v>0.18181818181818182</v>
      </c>
      <c r="O183" s="4"/>
      <c r="P183" s="4"/>
      <c r="Q183" s="4"/>
    </row>
    <row r="184" spans="1:17" ht="15.75" customHeight="1">
      <c r="A184" s="4">
        <v>9</v>
      </c>
      <c r="B184" s="13" t="s">
        <v>246</v>
      </c>
      <c r="C184" s="4" t="s">
        <v>374</v>
      </c>
      <c r="D184" s="4" t="s">
        <v>293</v>
      </c>
      <c r="E184" s="4"/>
      <c r="F184" s="3" t="s">
        <v>158</v>
      </c>
      <c r="G184" s="49"/>
      <c r="H184" s="4"/>
      <c r="I184" s="4"/>
      <c r="J184" s="4"/>
      <c r="K184" s="4">
        <v>138</v>
      </c>
      <c r="L184" s="4">
        <v>0.1</v>
      </c>
      <c r="M184" s="4">
        <v>1</v>
      </c>
      <c r="N184" s="4">
        <v>0.18181818181818182</v>
      </c>
      <c r="O184" s="4"/>
      <c r="P184" s="4"/>
      <c r="Q184" s="4"/>
    </row>
    <row r="185" spans="1:17" ht="15.75" customHeight="1">
      <c r="A185" s="4">
        <v>9</v>
      </c>
      <c r="B185" s="13" t="s">
        <v>246</v>
      </c>
      <c r="C185" s="4" t="s">
        <v>374</v>
      </c>
      <c r="D185" s="4" t="s">
        <v>293</v>
      </c>
      <c r="E185" s="4"/>
      <c r="F185" s="3" t="s">
        <v>252</v>
      </c>
      <c r="G185" s="49"/>
      <c r="H185" s="4"/>
      <c r="I185" s="4"/>
      <c r="J185" s="4"/>
      <c r="K185" s="4">
        <v>138</v>
      </c>
      <c r="L185" s="4">
        <v>0.1</v>
      </c>
      <c r="M185" s="4">
        <v>1</v>
      </c>
      <c r="N185" s="4">
        <v>0.18181818181818182</v>
      </c>
      <c r="O185" s="4"/>
      <c r="P185" s="4"/>
      <c r="Q185" s="4"/>
    </row>
    <row r="186" spans="1:17" ht="15.75" customHeight="1">
      <c r="A186" s="4">
        <v>9</v>
      </c>
      <c r="B186" s="13" t="s">
        <v>246</v>
      </c>
      <c r="C186" s="4" t="s">
        <v>374</v>
      </c>
      <c r="D186" s="4" t="s">
        <v>293</v>
      </c>
      <c r="E186" s="4"/>
      <c r="F186" s="3" t="s">
        <v>253</v>
      </c>
      <c r="G186" s="49"/>
      <c r="H186" s="4"/>
      <c r="I186" s="4"/>
      <c r="J186" s="4"/>
      <c r="K186" s="4">
        <v>138</v>
      </c>
      <c r="L186" s="4">
        <v>0.1</v>
      </c>
      <c r="M186" s="4">
        <v>1</v>
      </c>
      <c r="N186" s="4">
        <v>0.18181818181818182</v>
      </c>
      <c r="O186" s="4"/>
      <c r="P186" s="4"/>
      <c r="Q186" s="4"/>
    </row>
    <row r="187" spans="1:17" ht="15.75" customHeight="1">
      <c r="A187" s="5">
        <v>10</v>
      </c>
      <c r="B187" s="68" t="s">
        <v>255</v>
      </c>
      <c r="C187" s="4" t="s">
        <v>379</v>
      </c>
      <c r="D187" s="4" t="s">
        <v>328</v>
      </c>
      <c r="E187" s="4"/>
      <c r="F187" s="3" t="s">
        <v>376</v>
      </c>
      <c r="G187" s="49"/>
      <c r="H187" s="4"/>
      <c r="I187" s="4"/>
      <c r="J187" s="4"/>
      <c r="K187" s="4"/>
      <c r="L187" s="4"/>
      <c r="M187" s="4"/>
      <c r="N187" s="4"/>
      <c r="O187" s="4"/>
      <c r="P187" s="5"/>
    </row>
    <row r="188" spans="1:17" ht="15.75" customHeight="1">
      <c r="A188" s="5">
        <v>10</v>
      </c>
      <c r="B188" s="68" t="s">
        <v>255</v>
      </c>
      <c r="C188" s="4" t="s">
        <v>379</v>
      </c>
      <c r="D188" s="4" t="s">
        <v>328</v>
      </c>
      <c r="E188" s="4"/>
      <c r="F188" s="3" t="s">
        <v>377</v>
      </c>
      <c r="G188" s="49"/>
      <c r="H188" s="4"/>
      <c r="I188" s="4"/>
      <c r="J188" s="4"/>
      <c r="K188" s="4"/>
      <c r="L188" s="4"/>
      <c r="M188" s="4"/>
      <c r="N188" s="4"/>
      <c r="O188" s="4"/>
      <c r="P188" s="5"/>
    </row>
    <row r="189" spans="1:17" ht="15.75" customHeight="1">
      <c r="A189" s="5">
        <v>10</v>
      </c>
      <c r="B189" s="68" t="s">
        <v>255</v>
      </c>
      <c r="C189" s="4" t="s">
        <v>379</v>
      </c>
      <c r="D189" s="4" t="s">
        <v>328</v>
      </c>
      <c r="E189" s="4"/>
      <c r="F189" s="3" t="s">
        <v>164</v>
      </c>
      <c r="G189" s="49"/>
      <c r="H189" s="4"/>
      <c r="I189" s="4"/>
      <c r="J189" s="4"/>
      <c r="K189" s="4"/>
      <c r="L189" s="4"/>
      <c r="M189" s="4"/>
      <c r="N189" s="4"/>
      <c r="O189" s="4"/>
      <c r="P189" s="5"/>
    </row>
    <row r="190" spans="1:17" ht="15.75" customHeight="1">
      <c r="A190" s="5">
        <v>10</v>
      </c>
      <c r="B190" s="68" t="s">
        <v>255</v>
      </c>
      <c r="C190" s="4" t="s">
        <v>379</v>
      </c>
      <c r="D190" s="4" t="s">
        <v>328</v>
      </c>
      <c r="E190" s="4"/>
      <c r="F190" s="3" t="s">
        <v>378</v>
      </c>
      <c r="G190" s="49"/>
      <c r="H190" s="4"/>
      <c r="I190" s="4"/>
      <c r="J190" s="4"/>
      <c r="K190" s="4"/>
      <c r="L190" s="4"/>
      <c r="M190" s="4"/>
      <c r="N190" s="4"/>
      <c r="O190" s="4"/>
      <c r="P190" s="5"/>
    </row>
    <row r="191" spans="1:17" ht="15.75" customHeight="1">
      <c r="A191" s="5">
        <v>10</v>
      </c>
      <c r="B191" s="68" t="s">
        <v>255</v>
      </c>
      <c r="C191" s="4" t="s">
        <v>379</v>
      </c>
      <c r="D191" s="4" t="s">
        <v>328</v>
      </c>
      <c r="E191" s="4"/>
      <c r="F191" s="3" t="s">
        <v>22</v>
      </c>
      <c r="G191" s="49"/>
      <c r="H191" s="4"/>
      <c r="I191" s="4"/>
      <c r="J191" s="4"/>
      <c r="K191" s="4"/>
      <c r="L191" s="4"/>
      <c r="M191" s="4"/>
      <c r="N191" s="4"/>
      <c r="O191" s="4"/>
      <c r="P191" s="5"/>
    </row>
    <row r="192" spans="1:17" ht="15.75" customHeight="1">
      <c r="A192" s="5">
        <v>10</v>
      </c>
      <c r="B192" s="68" t="s">
        <v>255</v>
      </c>
      <c r="C192" s="4" t="s">
        <v>379</v>
      </c>
      <c r="D192" s="4" t="s">
        <v>328</v>
      </c>
      <c r="E192" s="4"/>
      <c r="F192" s="3" t="s">
        <v>99</v>
      </c>
      <c r="G192" s="49"/>
      <c r="H192" s="4"/>
      <c r="I192" s="4"/>
      <c r="J192" s="4"/>
      <c r="K192" s="4"/>
      <c r="L192" s="4"/>
      <c r="M192" s="4"/>
      <c r="N192" s="4"/>
      <c r="O192" s="4"/>
      <c r="P192" s="5"/>
    </row>
    <row r="193" spans="1:16" ht="15.75" customHeight="1">
      <c r="A193" s="5">
        <v>10</v>
      </c>
      <c r="B193" s="68" t="s">
        <v>255</v>
      </c>
      <c r="C193" s="4" t="s">
        <v>379</v>
      </c>
      <c r="D193" s="4" t="s">
        <v>328</v>
      </c>
      <c r="E193" s="4"/>
      <c r="F193" s="3" t="s">
        <v>13</v>
      </c>
      <c r="G193" s="49"/>
      <c r="H193" s="4"/>
      <c r="I193" s="4"/>
      <c r="J193" s="4"/>
      <c r="K193" s="4"/>
      <c r="L193" s="4"/>
      <c r="M193" s="4"/>
      <c r="N193" s="4"/>
      <c r="O193" s="4"/>
      <c r="P193" s="5"/>
    </row>
    <row r="194" spans="1:16" ht="15.75" customHeight="1">
      <c r="D194" s="4"/>
      <c r="E194" s="4"/>
      <c r="F194" s="4"/>
      <c r="G194" s="49"/>
      <c r="H194" s="4"/>
      <c r="I194" s="4"/>
      <c r="J194" s="4"/>
      <c r="K194" s="4"/>
      <c r="L194" s="4"/>
      <c r="M194" s="4"/>
      <c r="N194" s="71">
        <f>AVERAGE(N2:N193)</f>
        <v>0.37576901493683779</v>
      </c>
      <c r="O194" s="4"/>
      <c r="P194" s="5"/>
    </row>
    <row r="195" spans="1:16" ht="15.75" customHeight="1">
      <c r="D195" s="4"/>
      <c r="E195" s="4"/>
      <c r="F195" s="4"/>
      <c r="G195" s="49"/>
      <c r="H195" s="4"/>
      <c r="I195" s="4"/>
      <c r="J195" s="4"/>
      <c r="K195" s="4"/>
      <c r="L195" s="4"/>
      <c r="M195" s="4"/>
      <c r="N195" s="4"/>
      <c r="O195" s="4"/>
      <c r="P195" s="5"/>
    </row>
    <row r="196" spans="1:16" ht="15.75" customHeight="1">
      <c r="D196" s="4"/>
      <c r="E196" s="4"/>
      <c r="F196" s="4"/>
      <c r="G196" s="49"/>
      <c r="H196" s="4"/>
      <c r="I196" s="4"/>
      <c r="J196" s="4"/>
      <c r="K196" s="4"/>
      <c r="L196" s="4"/>
      <c r="M196" s="4"/>
      <c r="N196" s="4"/>
      <c r="O196" s="4"/>
      <c r="P196" s="5"/>
    </row>
    <row r="197" spans="1:16" ht="15.75" customHeight="1"/>
    <row r="198" spans="1:16" ht="15.75" customHeight="1"/>
    <row r="199" spans="1:16" ht="15.75" customHeight="1"/>
    <row r="200" spans="1:16" ht="15.75" customHeight="1"/>
    <row r="201" spans="1:16" ht="15.75" customHeight="1"/>
    <row r="202" spans="1:16" ht="15.75" customHeight="1"/>
    <row r="203" spans="1:16" ht="15.75" customHeight="1"/>
    <row r="204" spans="1:16" ht="15.75" customHeight="1"/>
    <row r="205" spans="1:16" ht="15.75" customHeight="1"/>
    <row r="206" spans="1:16" ht="15.75" customHeight="1"/>
    <row r="207" spans="1:16" ht="15.75" customHeight="1"/>
    <row r="208" spans="1:16"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6:E131"/>
    <mergeCell ref="E132:E147"/>
    <mergeCell ref="E157:E164"/>
    <mergeCell ref="E29:E35"/>
    <mergeCell ref="E50:E61"/>
    <mergeCell ref="E62:E65"/>
    <mergeCell ref="E76:E81"/>
    <mergeCell ref="E82:E87"/>
    <mergeCell ref="E94:E99"/>
    <mergeCell ref="E100:E115"/>
  </mergeCells>
  <hyperlinks>
    <hyperlink ref="B29" r:id="rId1" xr:uid="{00000000-0004-0000-0300-000000000000}"/>
    <hyperlink ref="B36" r:id="rId2" xr:uid="{00000000-0004-0000-0300-000001000000}"/>
    <hyperlink ref="B43" r:id="rId3" xr:uid="{00000000-0004-0000-0300-000002000000}"/>
    <hyperlink ref="B62" r:id="rId4" xr:uid="{00000000-0004-0000-0300-000003000000}"/>
    <hyperlink ref="B63" r:id="rId5" xr:uid="{00000000-0004-0000-0300-000004000000}"/>
    <hyperlink ref="B64" r:id="rId6" xr:uid="{00000000-0004-0000-0300-000005000000}"/>
    <hyperlink ref="B76" r:id="rId7" xr:uid="{00000000-0004-0000-0300-000006000000}"/>
    <hyperlink ref="B77" r:id="rId8" xr:uid="{00000000-0004-0000-0300-000007000000}"/>
    <hyperlink ref="B78" r:id="rId9" xr:uid="{00000000-0004-0000-0300-000008000000}"/>
    <hyperlink ref="B116" r:id="rId10" xr:uid="{00000000-0004-0000-0300-000009000000}"/>
    <hyperlink ref="B120" r:id="rId11" xr:uid="{00000000-0004-0000-0300-00000A000000}"/>
    <hyperlink ref="B152" r:id="rId12" xr:uid="{00000000-0004-0000-0300-00000B000000}"/>
    <hyperlink ref="B174" r:id="rId13" xr:uid="{00000000-0004-0000-0300-00000C000000}"/>
    <hyperlink ref="B175" r:id="rId14" xr:uid="{00000000-0004-0000-0300-00000D000000}"/>
    <hyperlink ref="B176" r:id="rId15" xr:uid="{00000000-0004-0000-0300-00000E000000}"/>
    <hyperlink ref="B187" r:id="rId16" xr:uid="{00000000-0004-0000-0300-00000F000000}"/>
    <hyperlink ref="B193" r:id="rId17" xr:uid="{00000000-0004-0000-0300-00001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000"/>
  <sheetViews>
    <sheetView workbookViewId="0"/>
  </sheetViews>
  <sheetFormatPr baseColWidth="10" defaultColWidth="11.1640625" defaultRowHeight="15" customHeight="1"/>
  <cols>
    <col min="1" max="1" width="11.83203125" customWidth="1"/>
    <col min="2" max="2" width="18.1640625" customWidth="1"/>
    <col min="3" max="3" width="16.5" customWidth="1"/>
    <col min="4" max="4" width="12" customWidth="1"/>
    <col min="5" max="6" width="17.83203125" customWidth="1"/>
    <col min="7" max="7" width="9.83203125" customWidth="1"/>
    <col min="8" max="9" width="8.5" customWidth="1"/>
    <col min="10" max="10" width="11" customWidth="1"/>
    <col min="11" max="26" width="8.5" customWidth="1"/>
  </cols>
  <sheetData>
    <row r="1" spans="1:9" ht="15.75" customHeight="1">
      <c r="A1" s="114" t="s">
        <v>382</v>
      </c>
      <c r="B1" s="115" t="s">
        <v>383</v>
      </c>
      <c r="C1" s="115" t="s">
        <v>384</v>
      </c>
      <c r="D1" s="115" t="s">
        <v>385</v>
      </c>
      <c r="E1" s="115" t="s">
        <v>386</v>
      </c>
      <c r="F1" s="115" t="s">
        <v>387</v>
      </c>
      <c r="G1" s="116" t="s">
        <v>388</v>
      </c>
    </row>
    <row r="2" spans="1:9" ht="15.75" customHeight="1">
      <c r="A2" s="117" t="s">
        <v>278</v>
      </c>
      <c r="B2" s="4" t="s">
        <v>279</v>
      </c>
      <c r="C2" s="4">
        <v>5</v>
      </c>
      <c r="D2" s="4">
        <v>30000000</v>
      </c>
      <c r="E2" s="117">
        <v>500</v>
      </c>
      <c r="F2" s="4" t="s">
        <v>389</v>
      </c>
      <c r="G2" s="5">
        <v>50</v>
      </c>
      <c r="H2" s="281" t="s">
        <v>390</v>
      </c>
    </row>
    <row r="3" spans="1:9" ht="15.75" customHeight="1">
      <c r="A3" s="118" t="s">
        <v>290</v>
      </c>
      <c r="B3" s="119" t="s">
        <v>279</v>
      </c>
      <c r="C3" s="119">
        <v>5</v>
      </c>
      <c r="D3" s="119">
        <v>30000000</v>
      </c>
      <c r="E3" s="118">
        <v>500</v>
      </c>
      <c r="F3" s="119" t="s">
        <v>389</v>
      </c>
      <c r="G3" s="120">
        <v>101</v>
      </c>
      <c r="H3" s="265"/>
    </row>
    <row r="4" spans="1:9" ht="15.75" customHeight="1">
      <c r="A4" s="64" t="s">
        <v>292</v>
      </c>
      <c r="B4" s="4" t="s">
        <v>293</v>
      </c>
      <c r="C4" s="4">
        <v>60</v>
      </c>
      <c r="D4" s="4"/>
      <c r="E4" s="4"/>
      <c r="F4" s="4"/>
      <c r="G4" s="5"/>
      <c r="H4" s="265"/>
    </row>
    <row r="5" spans="1:9" ht="15.75" customHeight="1">
      <c r="A5" s="4" t="s">
        <v>316</v>
      </c>
      <c r="B5" s="4" t="s">
        <v>279</v>
      </c>
      <c r="C5" s="4">
        <v>9</v>
      </c>
      <c r="D5" s="4">
        <v>40000000</v>
      </c>
      <c r="E5" s="4"/>
      <c r="F5" s="4"/>
      <c r="G5" s="5">
        <v>75</v>
      </c>
    </row>
    <row r="6" spans="1:9" ht="15.75" customHeight="1">
      <c r="A6" s="4" t="s">
        <v>325</v>
      </c>
      <c r="B6" s="4" t="s">
        <v>391</v>
      </c>
      <c r="C6" s="4"/>
      <c r="D6" s="4">
        <v>154000000</v>
      </c>
      <c r="E6" s="4"/>
      <c r="F6" s="4"/>
      <c r="G6" s="5">
        <v>101</v>
      </c>
      <c r="H6" s="13" t="s">
        <v>392</v>
      </c>
    </row>
    <row r="7" spans="1:9" ht="15.75" customHeight="1">
      <c r="A7" s="119" t="s">
        <v>327</v>
      </c>
      <c r="B7" s="119" t="s">
        <v>328</v>
      </c>
      <c r="C7" s="119"/>
      <c r="D7" s="119">
        <v>297000000</v>
      </c>
      <c r="E7" s="119"/>
      <c r="F7" s="119"/>
      <c r="G7" s="120">
        <v>101</v>
      </c>
      <c r="H7" s="13" t="s">
        <v>393</v>
      </c>
      <c r="I7" s="13" t="s">
        <v>394</v>
      </c>
    </row>
    <row r="8" spans="1:9" ht="15.75" customHeight="1">
      <c r="A8" s="4" t="s">
        <v>330</v>
      </c>
      <c r="B8" s="4" t="s">
        <v>293</v>
      </c>
      <c r="C8" s="4"/>
      <c r="D8" s="4"/>
      <c r="E8" s="4"/>
      <c r="F8" s="4"/>
      <c r="G8" s="5"/>
      <c r="H8" s="13" t="s">
        <v>395</v>
      </c>
    </row>
    <row r="9" spans="1:9" ht="15.75" customHeight="1">
      <c r="A9" s="4" t="s">
        <v>331</v>
      </c>
      <c r="B9" s="4" t="s">
        <v>293</v>
      </c>
      <c r="C9" s="4"/>
      <c r="D9" s="4"/>
      <c r="E9" s="4"/>
      <c r="F9" s="4"/>
      <c r="G9" s="5"/>
      <c r="H9" s="13" t="s">
        <v>396</v>
      </c>
    </row>
    <row r="10" spans="1:9" ht="15.75" customHeight="1">
      <c r="A10" s="4" t="s">
        <v>397</v>
      </c>
      <c r="B10" s="4" t="s">
        <v>293</v>
      </c>
      <c r="C10" s="4">
        <v>4</v>
      </c>
      <c r="D10" s="4">
        <v>7500000</v>
      </c>
      <c r="E10" s="4"/>
      <c r="F10" s="4" t="s">
        <v>389</v>
      </c>
      <c r="G10" s="5">
        <v>50</v>
      </c>
      <c r="H10" s="13" t="s">
        <v>398</v>
      </c>
    </row>
    <row r="11" spans="1:9" ht="15.75" customHeight="1">
      <c r="A11" s="119" t="s">
        <v>332</v>
      </c>
      <c r="B11" s="119" t="s">
        <v>293</v>
      </c>
      <c r="C11" s="119">
        <v>2</v>
      </c>
      <c r="D11" s="119">
        <v>60000000</v>
      </c>
      <c r="E11" s="119"/>
      <c r="F11" s="119" t="s">
        <v>389</v>
      </c>
      <c r="G11" s="120">
        <v>100</v>
      </c>
      <c r="H11" s="13" t="s">
        <v>196</v>
      </c>
    </row>
    <row r="12" spans="1:9" ht="15.75" customHeight="1">
      <c r="A12" s="4" t="s">
        <v>342</v>
      </c>
      <c r="B12" s="4" t="s">
        <v>279</v>
      </c>
      <c r="C12" s="4"/>
      <c r="D12" s="4">
        <v>8500000</v>
      </c>
      <c r="E12" s="4">
        <v>50</v>
      </c>
      <c r="F12" s="4" t="s">
        <v>389</v>
      </c>
      <c r="G12" s="5">
        <v>75</v>
      </c>
      <c r="H12" s="68" t="s">
        <v>399</v>
      </c>
    </row>
    <row r="13" spans="1:9" ht="15.75" customHeight="1">
      <c r="A13" s="4" t="s">
        <v>343</v>
      </c>
      <c r="B13" s="4" t="s">
        <v>293</v>
      </c>
      <c r="C13" s="4"/>
      <c r="D13" s="4"/>
      <c r="E13" s="4"/>
      <c r="F13" s="4"/>
      <c r="G13" s="5"/>
    </row>
    <row r="14" spans="1:9" ht="15.75" customHeight="1">
      <c r="A14" s="4" t="s">
        <v>347</v>
      </c>
      <c r="B14" s="4" t="s">
        <v>293</v>
      </c>
      <c r="C14" s="4"/>
      <c r="D14" s="4"/>
      <c r="E14" s="4"/>
      <c r="F14" s="4" t="s">
        <v>389</v>
      </c>
      <c r="G14" s="5"/>
      <c r="H14" s="13" t="s">
        <v>400</v>
      </c>
    </row>
    <row r="15" spans="1:9" ht="15.75" customHeight="1">
      <c r="A15" s="121" t="s">
        <v>349</v>
      </c>
      <c r="B15" s="14" t="s">
        <v>293</v>
      </c>
      <c r="C15" s="14"/>
      <c r="D15" s="14">
        <v>14000000</v>
      </c>
      <c r="E15" s="14"/>
      <c r="F15" s="14" t="s">
        <v>401</v>
      </c>
      <c r="G15" s="122">
        <v>76</v>
      </c>
      <c r="H15" s="13" t="s">
        <v>402</v>
      </c>
    </row>
    <row r="16" spans="1:9" ht="15.75" customHeight="1">
      <c r="A16" s="123" t="s">
        <v>350</v>
      </c>
      <c r="B16" s="124" t="s">
        <v>279</v>
      </c>
      <c r="C16" s="124"/>
      <c r="D16" s="124">
        <v>24000000</v>
      </c>
      <c r="E16" s="124">
        <v>42</v>
      </c>
      <c r="F16" s="124" t="s">
        <v>389</v>
      </c>
      <c r="G16" s="125">
        <v>76</v>
      </c>
      <c r="H16" s="13" t="s">
        <v>403</v>
      </c>
    </row>
    <row r="17" spans="1:15" ht="15.75" customHeight="1">
      <c r="A17" s="82" t="s">
        <v>351</v>
      </c>
      <c r="B17" s="119" t="s">
        <v>293</v>
      </c>
      <c r="C17" s="120">
        <v>6</v>
      </c>
      <c r="D17" s="120">
        <v>28000000</v>
      </c>
      <c r="E17" s="57">
        <v>27</v>
      </c>
      <c r="F17" s="120" t="s">
        <v>389</v>
      </c>
      <c r="G17" s="120">
        <v>50</v>
      </c>
      <c r="H17" s="126" t="s">
        <v>404</v>
      </c>
      <c r="J17" s="13" t="s">
        <v>405</v>
      </c>
      <c r="M17" s="13" t="s">
        <v>406</v>
      </c>
    </row>
    <row r="18" spans="1:15" ht="15.75" customHeight="1">
      <c r="A18" s="127" t="s">
        <v>353</v>
      </c>
      <c r="B18" s="119" t="s">
        <v>293</v>
      </c>
      <c r="C18" s="120">
        <v>6</v>
      </c>
      <c r="D18" s="120">
        <v>28000000</v>
      </c>
      <c r="E18" s="127">
        <v>99</v>
      </c>
      <c r="F18" s="120" t="s">
        <v>389</v>
      </c>
      <c r="G18" s="120">
        <v>50</v>
      </c>
      <c r="H18" s="93" t="s">
        <v>407</v>
      </c>
      <c r="J18" s="68" t="s">
        <v>408</v>
      </c>
    </row>
    <row r="19" spans="1:15" ht="15.75" customHeight="1">
      <c r="A19" s="4" t="s">
        <v>354</v>
      </c>
      <c r="B19" s="4" t="s">
        <v>293</v>
      </c>
      <c r="C19" s="4">
        <v>6</v>
      </c>
      <c r="D19" s="5">
        <v>12000000</v>
      </c>
      <c r="E19" s="22">
        <v>11</v>
      </c>
      <c r="F19" s="5" t="s">
        <v>389</v>
      </c>
      <c r="G19" s="5">
        <v>50</v>
      </c>
      <c r="H19" s="93" t="s">
        <v>409</v>
      </c>
      <c r="J19" s="13" t="s">
        <v>410</v>
      </c>
    </row>
    <row r="20" spans="1:15" ht="15.75" customHeight="1">
      <c r="A20" s="4" t="s">
        <v>355</v>
      </c>
      <c r="B20" s="4" t="s">
        <v>293</v>
      </c>
      <c r="C20" s="4">
        <v>13</v>
      </c>
      <c r="D20" s="5">
        <v>25000000</v>
      </c>
      <c r="E20" s="22">
        <v>31</v>
      </c>
      <c r="F20" s="5" t="s">
        <v>389</v>
      </c>
      <c r="G20" s="5">
        <v>101</v>
      </c>
      <c r="H20" s="49" t="s">
        <v>411</v>
      </c>
      <c r="J20" s="13" t="s">
        <v>412</v>
      </c>
    </row>
    <row r="21" spans="1:15" ht="15.75" customHeight="1">
      <c r="A21" s="4" t="s">
        <v>357</v>
      </c>
      <c r="B21" s="4" t="s">
        <v>279</v>
      </c>
      <c r="C21" s="4"/>
      <c r="D21" s="5">
        <v>307920</v>
      </c>
      <c r="E21" s="22">
        <v>80</v>
      </c>
      <c r="F21" s="5" t="s">
        <v>389</v>
      </c>
      <c r="G21" s="5">
        <v>75</v>
      </c>
      <c r="H21" s="49" t="s">
        <v>413</v>
      </c>
      <c r="K21" s="13" t="s">
        <v>182</v>
      </c>
    </row>
    <row r="22" spans="1:15" ht="15.75" customHeight="1">
      <c r="A22" s="4" t="s">
        <v>358</v>
      </c>
      <c r="B22" s="4" t="s">
        <v>279</v>
      </c>
      <c r="C22" s="4"/>
      <c r="D22" s="5">
        <v>64000000</v>
      </c>
      <c r="E22" s="22">
        <v>250</v>
      </c>
      <c r="F22" s="5" t="s">
        <v>389</v>
      </c>
      <c r="G22" s="5">
        <v>50</v>
      </c>
      <c r="H22" s="49" t="s">
        <v>414</v>
      </c>
      <c r="K22" s="282" t="s">
        <v>415</v>
      </c>
      <c r="L22" s="265"/>
    </row>
    <row r="23" spans="1:15" ht="15.75" customHeight="1">
      <c r="A23" s="4" t="s">
        <v>359</v>
      </c>
      <c r="B23" s="4" t="s">
        <v>279</v>
      </c>
      <c r="C23" s="4"/>
      <c r="D23" s="5">
        <v>42000000</v>
      </c>
      <c r="E23" s="22">
        <v>250</v>
      </c>
      <c r="F23" s="5" t="s">
        <v>389</v>
      </c>
      <c r="G23" s="5">
        <v>76</v>
      </c>
      <c r="H23" s="49" t="s">
        <v>416</v>
      </c>
      <c r="K23" s="265"/>
      <c r="L23" s="265"/>
    </row>
    <row r="24" spans="1:15" ht="15.75" customHeight="1">
      <c r="A24" s="4" t="s">
        <v>360</v>
      </c>
      <c r="B24" s="4" t="s">
        <v>279</v>
      </c>
      <c r="C24" s="4"/>
      <c r="D24" s="5">
        <v>31500000</v>
      </c>
      <c r="E24" s="22">
        <v>250</v>
      </c>
      <c r="F24" s="5" t="s">
        <v>389</v>
      </c>
      <c r="G24" s="5">
        <v>101</v>
      </c>
      <c r="H24" s="49" t="s">
        <v>417</v>
      </c>
      <c r="K24" s="265"/>
      <c r="L24" s="265"/>
    </row>
    <row r="25" spans="1:15" ht="15.75" customHeight="1">
      <c r="A25" s="119" t="s">
        <v>361</v>
      </c>
      <c r="B25" s="119" t="s">
        <v>293</v>
      </c>
      <c r="C25" s="119">
        <v>2</v>
      </c>
      <c r="D25" s="120">
        <v>65000000</v>
      </c>
      <c r="E25" s="128">
        <v>62</v>
      </c>
      <c r="F25" s="120" t="s">
        <v>389</v>
      </c>
      <c r="G25" s="120">
        <v>101</v>
      </c>
      <c r="H25" s="49" t="s">
        <v>418</v>
      </c>
      <c r="K25" s="13" t="s">
        <v>419</v>
      </c>
      <c r="N25" s="13" t="s">
        <v>420</v>
      </c>
    </row>
    <row r="26" spans="1:15" ht="15.75" customHeight="1">
      <c r="A26" s="129" t="s">
        <v>362</v>
      </c>
      <c r="B26" s="130" t="s">
        <v>293</v>
      </c>
      <c r="C26" s="131">
        <v>6</v>
      </c>
      <c r="D26" s="131">
        <v>21500000</v>
      </c>
      <c r="E26" s="132">
        <v>27</v>
      </c>
      <c r="F26" s="131" t="s">
        <v>389</v>
      </c>
      <c r="G26" s="133">
        <v>50</v>
      </c>
      <c r="H26" s="49" t="s">
        <v>421</v>
      </c>
      <c r="K26" s="282" t="s">
        <v>422</v>
      </c>
      <c r="L26" s="265"/>
      <c r="M26" s="265"/>
      <c r="N26" s="265"/>
      <c r="O26" s="265"/>
    </row>
    <row r="27" spans="1:15" ht="15.75" customHeight="1">
      <c r="A27" s="134" t="s">
        <v>363</v>
      </c>
      <c r="B27" s="119" t="s">
        <v>293</v>
      </c>
      <c r="C27" s="120">
        <v>6</v>
      </c>
      <c r="D27" s="120">
        <v>21500000</v>
      </c>
      <c r="E27" s="135">
        <v>99</v>
      </c>
      <c r="F27" s="120" t="s">
        <v>389</v>
      </c>
      <c r="G27" s="136">
        <v>50</v>
      </c>
      <c r="H27" s="49" t="s">
        <v>423</v>
      </c>
      <c r="K27" s="265"/>
      <c r="L27" s="265"/>
      <c r="M27" s="265"/>
      <c r="N27" s="265"/>
      <c r="O27" s="265"/>
    </row>
    <row r="28" spans="1:15" ht="15.75" customHeight="1">
      <c r="A28" s="137" t="s">
        <v>364</v>
      </c>
      <c r="B28" s="4" t="s">
        <v>279</v>
      </c>
      <c r="C28" s="4">
        <v>5</v>
      </c>
      <c r="D28" s="4">
        <v>30000000</v>
      </c>
      <c r="E28" s="117">
        <v>500</v>
      </c>
      <c r="F28" s="5" t="s">
        <v>389</v>
      </c>
      <c r="G28" s="138">
        <v>50</v>
      </c>
      <c r="H28" s="68" t="s">
        <v>424</v>
      </c>
    </row>
    <row r="29" spans="1:15" ht="15.75" customHeight="1">
      <c r="A29" s="139" t="s">
        <v>366</v>
      </c>
      <c r="B29" s="119" t="s">
        <v>279</v>
      </c>
      <c r="C29" s="119">
        <v>5</v>
      </c>
      <c r="D29" s="119">
        <v>30000000</v>
      </c>
      <c r="E29" s="118">
        <v>500</v>
      </c>
      <c r="F29" s="120" t="s">
        <v>389</v>
      </c>
      <c r="G29" s="136">
        <v>101</v>
      </c>
      <c r="H29" s="68" t="s">
        <v>425</v>
      </c>
    </row>
    <row r="30" spans="1:15" ht="15.75" customHeight="1">
      <c r="A30" s="140" t="s">
        <v>370</v>
      </c>
      <c r="B30" s="124" t="s">
        <v>293</v>
      </c>
      <c r="C30" s="124">
        <v>60</v>
      </c>
      <c r="D30" s="124"/>
      <c r="E30" s="124"/>
      <c r="F30" s="124"/>
      <c r="G30" s="125"/>
      <c r="H30" s="49" t="s">
        <v>238</v>
      </c>
      <c r="I30" s="13" t="s">
        <v>426</v>
      </c>
    </row>
    <row r="31" spans="1:15" ht="15.75" customHeight="1">
      <c r="A31" s="119" t="s">
        <v>371</v>
      </c>
      <c r="B31" s="119" t="s">
        <v>293</v>
      </c>
      <c r="C31" s="119">
        <v>8</v>
      </c>
      <c r="D31" s="119"/>
      <c r="E31" s="120"/>
      <c r="F31" s="120"/>
      <c r="G31" s="120"/>
      <c r="H31" s="49" t="s">
        <v>427</v>
      </c>
      <c r="I31" s="13" t="s">
        <v>428</v>
      </c>
    </row>
    <row r="32" spans="1:15" ht="15.75" customHeight="1">
      <c r="A32" s="119" t="s">
        <v>429</v>
      </c>
      <c r="B32" s="4" t="s">
        <v>293</v>
      </c>
      <c r="C32" s="4">
        <v>2</v>
      </c>
      <c r="D32" s="4"/>
      <c r="E32" s="5"/>
      <c r="F32" s="5"/>
      <c r="G32" s="5">
        <v>100</v>
      </c>
      <c r="H32" s="49" t="s">
        <v>430</v>
      </c>
      <c r="I32" s="13" t="s">
        <v>196</v>
      </c>
    </row>
    <row r="33" spans="1:18" ht="15.75" customHeight="1">
      <c r="A33" s="4" t="s">
        <v>431</v>
      </c>
      <c r="B33" s="4" t="s">
        <v>293</v>
      </c>
      <c r="C33" s="4">
        <v>4</v>
      </c>
      <c r="D33" s="4"/>
      <c r="E33" s="5"/>
      <c r="F33" s="5"/>
      <c r="G33" s="5">
        <v>50</v>
      </c>
      <c r="H33" s="49" t="s">
        <v>430</v>
      </c>
      <c r="I33" s="13" t="s">
        <v>432</v>
      </c>
      <c r="K33" s="13" t="s">
        <v>433</v>
      </c>
      <c r="M33" s="13" t="s">
        <v>434</v>
      </c>
      <c r="O33" s="13" t="s">
        <v>435</v>
      </c>
      <c r="P33" s="13" t="s">
        <v>436</v>
      </c>
      <c r="R33" s="13" t="s">
        <v>437</v>
      </c>
    </row>
    <row r="34" spans="1:18" ht="15.75" customHeight="1">
      <c r="A34" s="119" t="s">
        <v>368</v>
      </c>
      <c r="B34" s="119" t="s">
        <v>279</v>
      </c>
      <c r="C34" s="119"/>
      <c r="D34" s="119">
        <v>65000000</v>
      </c>
      <c r="E34" s="120"/>
      <c r="F34" s="120"/>
      <c r="G34" s="120">
        <v>101</v>
      </c>
      <c r="H34" s="49" t="s">
        <v>235</v>
      </c>
      <c r="I34" s="68" t="s">
        <v>438</v>
      </c>
    </row>
    <row r="35" spans="1:18" ht="15.75" customHeight="1">
      <c r="A35" s="4" t="s">
        <v>373</v>
      </c>
      <c r="B35" s="4" t="s">
        <v>293</v>
      </c>
      <c r="C35" s="4"/>
      <c r="D35" s="4"/>
      <c r="E35" s="5"/>
      <c r="F35" s="5"/>
      <c r="G35" s="5"/>
      <c r="H35" s="49" t="s">
        <v>240</v>
      </c>
      <c r="I35" s="13" t="s">
        <v>439</v>
      </c>
    </row>
    <row r="36" spans="1:18" ht="15.75" customHeight="1">
      <c r="A36" s="4" t="s">
        <v>374</v>
      </c>
      <c r="B36" s="4" t="s">
        <v>293</v>
      </c>
      <c r="C36" s="4"/>
      <c r="E36" s="5"/>
      <c r="F36" s="5"/>
      <c r="G36" s="5"/>
    </row>
    <row r="37" spans="1:18" ht="15.75" customHeight="1">
      <c r="A37" s="4" t="s">
        <v>440</v>
      </c>
      <c r="B37" s="4" t="s">
        <v>279</v>
      </c>
      <c r="C37" s="4"/>
      <c r="E37" s="4"/>
      <c r="F37" s="4"/>
      <c r="G37" s="5"/>
    </row>
    <row r="38" spans="1:18" ht="15.75" customHeight="1">
      <c r="B38" s="4"/>
      <c r="C38" s="4"/>
      <c r="E38" s="4"/>
      <c r="F38" s="4"/>
      <c r="G38" s="5"/>
    </row>
    <row r="39" spans="1:18" ht="15.75" customHeight="1">
      <c r="B39" s="4"/>
      <c r="C39" s="4"/>
      <c r="E39" s="4"/>
      <c r="F39" s="4"/>
      <c r="G39" s="5"/>
    </row>
    <row r="40" spans="1:18" ht="15.75" customHeight="1">
      <c r="B40" s="4"/>
      <c r="C40" s="4"/>
      <c r="E40" s="4"/>
      <c r="F40" s="4"/>
      <c r="G40" s="5"/>
    </row>
    <row r="41" spans="1:18" ht="15.75" customHeight="1">
      <c r="B41" s="4"/>
      <c r="C41" s="4"/>
      <c r="E41" s="4"/>
      <c r="F41" s="4"/>
      <c r="G41" s="5"/>
    </row>
    <row r="42" spans="1:18" ht="15.75" customHeight="1">
      <c r="B42" s="4"/>
      <c r="C42" s="4"/>
      <c r="E42" s="4"/>
      <c r="F42" s="4"/>
      <c r="G42" s="5"/>
    </row>
    <row r="43" spans="1:18" ht="15.75" customHeight="1">
      <c r="B43" s="4"/>
      <c r="C43" s="4"/>
      <c r="E43" s="4"/>
      <c r="F43" s="4"/>
      <c r="G43" s="5"/>
    </row>
    <row r="44" spans="1:18" ht="15.75" customHeight="1">
      <c r="B44" s="4"/>
      <c r="C44" s="4"/>
      <c r="E44" s="4"/>
      <c r="F44" s="4"/>
      <c r="G44" s="5"/>
    </row>
    <row r="45" spans="1:18" ht="15.75" customHeight="1">
      <c r="B45" s="4"/>
      <c r="C45" s="4"/>
      <c r="E45" s="4"/>
      <c r="F45" s="4"/>
      <c r="G45" s="5"/>
    </row>
    <row r="46" spans="1:18" ht="15.75" customHeight="1">
      <c r="B46" s="4"/>
      <c r="C46" s="4"/>
      <c r="E46" s="4"/>
      <c r="F46" s="4"/>
      <c r="G46" s="5"/>
    </row>
    <row r="47" spans="1:18" ht="15.75" customHeight="1">
      <c r="B47" s="4"/>
      <c r="C47" s="4"/>
      <c r="E47" s="4"/>
      <c r="F47" s="4"/>
      <c r="G47" s="5"/>
    </row>
    <row r="48" spans="1:18" ht="15.75" customHeight="1">
      <c r="B48" s="4"/>
      <c r="C48" s="4"/>
      <c r="E48" s="4"/>
      <c r="F48" s="4"/>
      <c r="G48" s="5"/>
    </row>
    <row r="49" spans="2:7" ht="15.75" customHeight="1">
      <c r="B49" s="4"/>
      <c r="C49" s="4"/>
      <c r="E49" s="4"/>
      <c r="F49" s="4"/>
      <c r="G49" s="5"/>
    </row>
    <row r="50" spans="2:7" ht="15.75" customHeight="1">
      <c r="B50" s="4"/>
      <c r="C50" s="4"/>
      <c r="E50" s="4"/>
      <c r="F50" s="4"/>
      <c r="G50" s="5"/>
    </row>
    <row r="51" spans="2:7" ht="15.75" customHeight="1">
      <c r="B51" s="4"/>
      <c r="C51" s="4"/>
      <c r="E51" s="4"/>
      <c r="F51" s="4"/>
      <c r="G51" s="5"/>
    </row>
    <row r="52" spans="2:7" ht="15.75" customHeight="1">
      <c r="B52" s="4"/>
      <c r="C52" s="4"/>
      <c r="E52" s="4"/>
      <c r="F52" s="4"/>
      <c r="G52" s="5"/>
    </row>
    <row r="53" spans="2:7" ht="15.75" customHeight="1">
      <c r="B53" s="4"/>
      <c r="C53" s="4"/>
      <c r="E53" s="4"/>
      <c r="F53" s="4"/>
      <c r="G53" s="5"/>
    </row>
    <row r="54" spans="2:7" ht="15.75" customHeight="1">
      <c r="B54" s="4"/>
      <c r="C54" s="4"/>
      <c r="E54" s="4"/>
      <c r="F54" s="4"/>
      <c r="G54" s="5"/>
    </row>
    <row r="55" spans="2:7" ht="15.75" customHeight="1">
      <c r="B55" s="4"/>
      <c r="C55" s="4"/>
      <c r="E55" s="4"/>
      <c r="F55" s="4"/>
      <c r="G55" s="5"/>
    </row>
    <row r="56" spans="2:7" ht="15.75" customHeight="1">
      <c r="B56" s="4"/>
      <c r="C56" s="4"/>
      <c r="E56" s="4"/>
      <c r="F56" s="4"/>
      <c r="G56" s="5"/>
    </row>
    <row r="57" spans="2:7" ht="15.75" customHeight="1">
      <c r="B57" s="4"/>
      <c r="C57" s="4"/>
      <c r="E57" s="4"/>
      <c r="F57" s="4"/>
      <c r="G57" s="5"/>
    </row>
    <row r="58" spans="2:7" ht="15.75" customHeight="1">
      <c r="B58" s="4"/>
      <c r="C58" s="4"/>
      <c r="E58" s="4"/>
      <c r="F58" s="4"/>
      <c r="G58" s="5"/>
    </row>
    <row r="59" spans="2:7" ht="15.75" customHeight="1">
      <c r="B59" s="4"/>
      <c r="C59" s="4"/>
      <c r="E59" s="4"/>
      <c r="F59" s="4"/>
      <c r="G59" s="5"/>
    </row>
    <row r="60" spans="2:7" ht="15.75" customHeight="1">
      <c r="B60" s="4"/>
      <c r="C60" s="4"/>
      <c r="E60" s="4"/>
      <c r="F60" s="4"/>
      <c r="G60" s="5"/>
    </row>
    <row r="61" spans="2:7" ht="15.75" customHeight="1">
      <c r="B61" s="4"/>
      <c r="C61" s="4"/>
      <c r="E61" s="4"/>
      <c r="F61" s="4"/>
      <c r="G61" s="5"/>
    </row>
    <row r="62" spans="2:7" ht="15.75" customHeight="1">
      <c r="B62" s="4"/>
      <c r="C62" s="4"/>
      <c r="E62" s="4"/>
      <c r="F62" s="4"/>
      <c r="G62" s="5"/>
    </row>
    <row r="63" spans="2:7" ht="15.75" customHeight="1">
      <c r="B63" s="4"/>
      <c r="C63" s="4"/>
      <c r="E63" s="4"/>
      <c r="F63" s="4"/>
      <c r="G63" s="5"/>
    </row>
    <row r="64" spans="2:7" ht="15.75" customHeight="1">
      <c r="B64" s="4"/>
      <c r="C64" s="4"/>
      <c r="E64" s="4"/>
      <c r="F64" s="4"/>
      <c r="G64" s="5"/>
    </row>
    <row r="65" spans="2:7" ht="15.75" customHeight="1">
      <c r="B65" s="4"/>
      <c r="C65" s="4"/>
      <c r="E65" s="4"/>
      <c r="F65" s="4"/>
      <c r="G65" s="5"/>
    </row>
    <row r="66" spans="2:7" ht="15.75" customHeight="1">
      <c r="B66" s="4"/>
      <c r="C66" s="4"/>
      <c r="E66" s="4"/>
      <c r="F66" s="4"/>
      <c r="G66" s="5"/>
    </row>
    <row r="67" spans="2:7" ht="15.75" customHeight="1">
      <c r="B67" s="4"/>
      <c r="C67" s="4"/>
      <c r="E67" s="4"/>
      <c r="F67" s="4"/>
      <c r="G67" s="5"/>
    </row>
    <row r="68" spans="2:7" ht="15.75" customHeight="1">
      <c r="B68" s="4"/>
      <c r="C68" s="4"/>
      <c r="E68" s="4"/>
      <c r="F68" s="4"/>
      <c r="G68" s="5"/>
    </row>
    <row r="69" spans="2:7" ht="15.75" customHeight="1">
      <c r="B69" s="4"/>
      <c r="C69" s="4"/>
      <c r="E69" s="4"/>
      <c r="F69" s="4"/>
      <c r="G69" s="5"/>
    </row>
    <row r="70" spans="2:7" ht="15.75" customHeight="1">
      <c r="B70" s="4"/>
      <c r="C70" s="4"/>
      <c r="E70" s="4"/>
      <c r="F70" s="4"/>
      <c r="G70" s="5"/>
    </row>
    <row r="71" spans="2:7" ht="15.75" customHeight="1">
      <c r="B71" s="4"/>
      <c r="C71" s="4"/>
      <c r="E71" s="4"/>
      <c r="F71" s="4"/>
      <c r="G71" s="5"/>
    </row>
    <row r="72" spans="2:7" ht="15.75" customHeight="1">
      <c r="B72" s="4"/>
      <c r="C72" s="4"/>
      <c r="E72" s="4"/>
      <c r="F72" s="4"/>
      <c r="G72" s="5"/>
    </row>
    <row r="73" spans="2:7" ht="15.75" customHeight="1">
      <c r="B73" s="4"/>
      <c r="C73" s="4"/>
      <c r="E73" s="4"/>
      <c r="F73" s="4"/>
      <c r="G73" s="5"/>
    </row>
    <row r="74" spans="2:7" ht="15.75" customHeight="1">
      <c r="B74" s="4"/>
      <c r="C74" s="4"/>
      <c r="E74" s="4"/>
      <c r="F74" s="4"/>
      <c r="G74" s="5"/>
    </row>
    <row r="75" spans="2:7" ht="15.75" customHeight="1">
      <c r="B75" s="4"/>
      <c r="C75" s="4"/>
      <c r="E75" s="4"/>
      <c r="F75" s="4"/>
      <c r="G75" s="5"/>
    </row>
    <row r="76" spans="2:7" ht="15.75" customHeight="1">
      <c r="B76" s="4"/>
      <c r="C76" s="4"/>
      <c r="E76" s="4"/>
      <c r="F76" s="4"/>
      <c r="G76" s="5"/>
    </row>
    <row r="77" spans="2:7" ht="15.75" customHeight="1">
      <c r="B77" s="4"/>
      <c r="C77" s="4"/>
      <c r="E77" s="4"/>
      <c r="F77" s="4"/>
      <c r="G77" s="5"/>
    </row>
    <row r="78" spans="2:7" ht="15.75" customHeight="1">
      <c r="B78" s="4"/>
      <c r="C78" s="4"/>
      <c r="E78" s="4"/>
      <c r="F78" s="4"/>
      <c r="G78" s="5"/>
    </row>
    <row r="79" spans="2:7" ht="15.75" customHeight="1">
      <c r="B79" s="4"/>
      <c r="C79" s="4"/>
      <c r="E79" s="4"/>
      <c r="F79" s="4"/>
      <c r="G79" s="5"/>
    </row>
    <row r="80" spans="2:7" ht="15.75" customHeight="1">
      <c r="B80" s="4"/>
      <c r="C80" s="4"/>
      <c r="E80" s="4"/>
      <c r="F80" s="4"/>
      <c r="G80" s="5"/>
    </row>
    <row r="81" spans="2:7" ht="15.75" customHeight="1">
      <c r="B81" s="4"/>
      <c r="C81" s="4"/>
      <c r="E81" s="4"/>
      <c r="F81" s="4"/>
      <c r="G81" s="5"/>
    </row>
    <row r="82" spans="2:7" ht="15.75" customHeight="1">
      <c r="B82" s="4"/>
      <c r="C82" s="4"/>
      <c r="E82" s="4"/>
      <c r="F82" s="4"/>
      <c r="G82" s="5"/>
    </row>
    <row r="83" spans="2:7" ht="15.75" customHeight="1">
      <c r="B83" s="4"/>
      <c r="C83" s="4"/>
      <c r="E83" s="4"/>
      <c r="F83" s="4"/>
      <c r="G83" s="5"/>
    </row>
    <row r="84" spans="2:7" ht="15.75" customHeight="1">
      <c r="B84" s="4"/>
      <c r="C84" s="4"/>
      <c r="E84" s="4"/>
      <c r="F84" s="4"/>
      <c r="G84" s="5"/>
    </row>
    <row r="85" spans="2:7" ht="15.75" customHeight="1">
      <c r="B85" s="4"/>
      <c r="C85" s="4"/>
      <c r="E85" s="4"/>
      <c r="F85" s="4"/>
      <c r="G85" s="5"/>
    </row>
    <row r="86" spans="2:7" ht="15.75" customHeight="1">
      <c r="B86" s="4"/>
      <c r="C86" s="4"/>
      <c r="E86" s="4"/>
      <c r="F86" s="4"/>
      <c r="G86" s="5"/>
    </row>
    <row r="87" spans="2:7" ht="15.75" customHeight="1">
      <c r="B87" s="4"/>
      <c r="C87" s="4"/>
      <c r="E87" s="4"/>
      <c r="F87" s="4"/>
      <c r="G87" s="5"/>
    </row>
    <row r="88" spans="2:7" ht="15.75" customHeight="1">
      <c r="B88" s="4"/>
      <c r="C88" s="4"/>
      <c r="E88" s="4"/>
      <c r="F88" s="4"/>
      <c r="G88" s="5"/>
    </row>
    <row r="89" spans="2:7" ht="15.75" customHeight="1">
      <c r="B89" s="4"/>
      <c r="C89" s="4"/>
      <c r="E89" s="4"/>
      <c r="F89" s="4"/>
      <c r="G89" s="5"/>
    </row>
    <row r="90" spans="2:7" ht="15.75" customHeight="1">
      <c r="B90" s="4"/>
      <c r="C90" s="4"/>
      <c r="E90" s="4"/>
      <c r="F90" s="4"/>
      <c r="G90" s="5"/>
    </row>
    <row r="91" spans="2:7" ht="15.75" customHeight="1">
      <c r="B91" s="4"/>
      <c r="C91" s="4"/>
      <c r="E91" s="4"/>
      <c r="F91" s="4"/>
      <c r="G91" s="5"/>
    </row>
    <row r="92" spans="2:7" ht="15.75" customHeight="1">
      <c r="B92" s="4"/>
      <c r="C92" s="4"/>
      <c r="E92" s="4"/>
      <c r="F92" s="4"/>
      <c r="G92" s="5"/>
    </row>
    <row r="93" spans="2:7" ht="15.75" customHeight="1">
      <c r="B93" s="4"/>
      <c r="C93" s="4"/>
      <c r="E93" s="4"/>
      <c r="F93" s="4"/>
      <c r="G93" s="5"/>
    </row>
    <row r="94" spans="2:7" ht="15.75" customHeight="1">
      <c r="B94" s="4"/>
      <c r="C94" s="4"/>
      <c r="E94" s="4"/>
      <c r="F94" s="4"/>
      <c r="G94" s="5"/>
    </row>
    <row r="95" spans="2:7" ht="15.75" customHeight="1">
      <c r="B95" s="4"/>
      <c r="C95" s="4"/>
      <c r="E95" s="4"/>
      <c r="F95" s="4"/>
      <c r="G95" s="5"/>
    </row>
    <row r="96" spans="2:7" ht="15.75" customHeight="1">
      <c r="B96" s="4"/>
      <c r="C96" s="4"/>
      <c r="E96" s="4"/>
      <c r="F96" s="4"/>
      <c r="G96" s="5"/>
    </row>
    <row r="97" spans="2:7" ht="15.75" customHeight="1">
      <c r="B97" s="4"/>
      <c r="C97" s="4"/>
      <c r="E97" s="4"/>
      <c r="F97" s="4"/>
      <c r="G97" s="5"/>
    </row>
    <row r="98" spans="2:7" ht="15.75" customHeight="1">
      <c r="B98" s="4"/>
      <c r="C98" s="4"/>
      <c r="E98" s="4"/>
      <c r="F98" s="4"/>
      <c r="G98" s="5"/>
    </row>
    <row r="99" spans="2:7" ht="15.75" customHeight="1">
      <c r="B99" s="4"/>
      <c r="C99" s="4"/>
      <c r="E99" s="4"/>
      <c r="F99" s="4"/>
      <c r="G99" s="5"/>
    </row>
    <row r="100" spans="2:7" ht="15.75" customHeight="1">
      <c r="B100" s="4"/>
      <c r="C100" s="4"/>
      <c r="E100" s="4"/>
      <c r="F100" s="4"/>
      <c r="G100" s="5"/>
    </row>
    <row r="101" spans="2:7" ht="15.75" customHeight="1">
      <c r="B101" s="4"/>
      <c r="C101" s="4"/>
      <c r="E101" s="4"/>
      <c r="F101" s="4"/>
      <c r="G101" s="5"/>
    </row>
    <row r="102" spans="2:7" ht="15.75" customHeight="1">
      <c r="B102" s="4"/>
      <c r="C102" s="4"/>
      <c r="E102" s="4"/>
      <c r="F102" s="4"/>
      <c r="G102" s="5"/>
    </row>
    <row r="103" spans="2:7" ht="15.75" customHeight="1">
      <c r="B103" s="4"/>
      <c r="C103" s="4"/>
      <c r="E103" s="4"/>
      <c r="F103" s="4"/>
      <c r="G103" s="5"/>
    </row>
    <row r="104" spans="2:7" ht="15.75" customHeight="1">
      <c r="B104" s="4"/>
      <c r="C104" s="4"/>
      <c r="E104" s="4"/>
      <c r="F104" s="4"/>
      <c r="G104" s="5"/>
    </row>
    <row r="105" spans="2:7" ht="15.75" customHeight="1">
      <c r="B105" s="4"/>
      <c r="C105" s="4"/>
      <c r="E105" s="4"/>
      <c r="F105" s="4"/>
      <c r="G105" s="5"/>
    </row>
    <row r="106" spans="2:7" ht="15.75" customHeight="1">
      <c r="B106" s="4"/>
      <c r="C106" s="4"/>
      <c r="E106" s="4"/>
      <c r="F106" s="4"/>
      <c r="G106" s="5"/>
    </row>
    <row r="107" spans="2:7" ht="15.75" customHeight="1">
      <c r="B107" s="4"/>
      <c r="C107" s="4"/>
      <c r="E107" s="4"/>
      <c r="F107" s="4"/>
      <c r="G107" s="5"/>
    </row>
    <row r="108" spans="2:7" ht="15.75" customHeight="1">
      <c r="B108" s="4"/>
      <c r="C108" s="4"/>
      <c r="E108" s="4"/>
      <c r="F108" s="4"/>
      <c r="G108" s="5"/>
    </row>
    <row r="109" spans="2:7" ht="15.75" customHeight="1">
      <c r="B109" s="4"/>
      <c r="C109" s="4"/>
      <c r="E109" s="4"/>
      <c r="F109" s="4"/>
      <c r="G109" s="5"/>
    </row>
    <row r="110" spans="2:7" ht="15.75" customHeight="1">
      <c r="B110" s="4"/>
      <c r="C110" s="4"/>
      <c r="E110" s="4"/>
      <c r="F110" s="4"/>
      <c r="G110" s="5"/>
    </row>
    <row r="111" spans="2:7" ht="15.75" customHeight="1">
      <c r="B111" s="4"/>
      <c r="C111" s="4"/>
      <c r="E111" s="4"/>
      <c r="F111" s="4"/>
      <c r="G111" s="5"/>
    </row>
    <row r="112" spans="2:7" ht="15.75" customHeight="1">
      <c r="B112" s="4"/>
      <c r="C112" s="4"/>
      <c r="E112" s="4"/>
      <c r="F112" s="4"/>
      <c r="G112" s="5"/>
    </row>
    <row r="113" spans="2:7" ht="15.75" customHeight="1">
      <c r="B113" s="4"/>
      <c r="C113" s="4"/>
      <c r="E113" s="4"/>
      <c r="F113" s="4"/>
      <c r="G113" s="5"/>
    </row>
    <row r="114" spans="2:7" ht="15.75" customHeight="1">
      <c r="B114" s="4"/>
      <c r="C114" s="4"/>
      <c r="E114" s="4"/>
      <c r="F114" s="4"/>
      <c r="G114" s="5"/>
    </row>
    <row r="115" spans="2:7" ht="15.75" customHeight="1">
      <c r="B115" s="4"/>
      <c r="C115" s="4"/>
      <c r="E115" s="4"/>
      <c r="F115" s="4"/>
      <c r="G115" s="5"/>
    </row>
    <row r="116" spans="2:7" ht="15.75" customHeight="1">
      <c r="B116" s="4"/>
      <c r="C116" s="4"/>
      <c r="E116" s="4"/>
      <c r="F116" s="4"/>
      <c r="G116" s="5"/>
    </row>
    <row r="117" spans="2:7" ht="15.75" customHeight="1">
      <c r="B117" s="4"/>
      <c r="C117" s="4"/>
      <c r="E117" s="4"/>
      <c r="F117" s="4"/>
      <c r="G117" s="5"/>
    </row>
    <row r="118" spans="2:7" ht="15.75" customHeight="1">
      <c r="B118" s="4"/>
      <c r="C118" s="4"/>
      <c r="E118" s="4"/>
      <c r="F118" s="4"/>
      <c r="G118" s="5"/>
    </row>
    <row r="119" spans="2:7" ht="15.75" customHeight="1">
      <c r="B119" s="4"/>
      <c r="C119" s="4"/>
      <c r="E119" s="4"/>
      <c r="F119" s="4"/>
      <c r="G119" s="5"/>
    </row>
    <row r="120" spans="2:7" ht="15.75" customHeight="1">
      <c r="B120" s="4"/>
      <c r="C120" s="4"/>
      <c r="E120" s="4"/>
      <c r="F120" s="4"/>
      <c r="G120" s="5"/>
    </row>
    <row r="121" spans="2:7" ht="15.75" customHeight="1">
      <c r="B121" s="4"/>
      <c r="C121" s="4"/>
      <c r="E121" s="4"/>
      <c r="F121" s="4"/>
      <c r="G121" s="5"/>
    </row>
    <row r="122" spans="2:7" ht="15.75" customHeight="1">
      <c r="B122" s="4"/>
      <c r="C122" s="4"/>
      <c r="E122" s="4"/>
      <c r="F122" s="4"/>
      <c r="G122" s="5"/>
    </row>
    <row r="123" spans="2:7" ht="15.75" customHeight="1">
      <c r="B123" s="4"/>
      <c r="C123" s="4"/>
      <c r="E123" s="4"/>
      <c r="F123" s="4"/>
      <c r="G123" s="5"/>
    </row>
    <row r="124" spans="2:7" ht="15.75" customHeight="1">
      <c r="B124" s="4"/>
      <c r="C124" s="4"/>
      <c r="E124" s="4"/>
      <c r="F124" s="4"/>
      <c r="G124" s="5"/>
    </row>
    <row r="125" spans="2:7" ht="15.75" customHeight="1">
      <c r="B125" s="4"/>
      <c r="C125" s="4"/>
      <c r="E125" s="4"/>
      <c r="F125" s="4"/>
      <c r="G125" s="5"/>
    </row>
    <row r="126" spans="2:7" ht="15.75" customHeight="1">
      <c r="B126" s="4"/>
      <c r="C126" s="4"/>
      <c r="E126" s="4"/>
      <c r="F126" s="4"/>
      <c r="G126" s="5"/>
    </row>
    <row r="127" spans="2:7" ht="15.75" customHeight="1">
      <c r="B127" s="4"/>
      <c r="C127" s="4"/>
      <c r="E127" s="4"/>
      <c r="F127" s="4"/>
      <c r="G127" s="5"/>
    </row>
    <row r="128" spans="2:7" ht="15.75" customHeight="1">
      <c r="B128" s="4"/>
      <c r="C128" s="4"/>
      <c r="E128" s="4"/>
      <c r="F128" s="4"/>
      <c r="G128" s="5"/>
    </row>
    <row r="129" spans="2:7" ht="15.75" customHeight="1">
      <c r="B129" s="4"/>
      <c r="C129" s="4"/>
      <c r="E129" s="4"/>
      <c r="F129" s="4"/>
      <c r="G129" s="5"/>
    </row>
    <row r="130" spans="2:7" ht="15.75" customHeight="1">
      <c r="B130" s="4"/>
      <c r="C130" s="4"/>
      <c r="E130" s="4"/>
      <c r="F130" s="4"/>
      <c r="G130" s="5"/>
    </row>
    <row r="131" spans="2:7" ht="15.75" customHeight="1">
      <c r="B131" s="4"/>
      <c r="C131" s="4"/>
      <c r="E131" s="4"/>
      <c r="F131" s="4"/>
      <c r="G131" s="5"/>
    </row>
    <row r="132" spans="2:7" ht="15.75" customHeight="1">
      <c r="B132" s="4"/>
      <c r="C132" s="4"/>
      <c r="E132" s="4"/>
      <c r="F132" s="4"/>
      <c r="G132" s="5"/>
    </row>
    <row r="133" spans="2:7" ht="15.75" customHeight="1">
      <c r="B133" s="4"/>
      <c r="C133" s="4"/>
      <c r="E133" s="4"/>
      <c r="F133" s="4"/>
      <c r="G133" s="5"/>
    </row>
    <row r="134" spans="2:7" ht="15.75" customHeight="1">
      <c r="B134" s="4"/>
      <c r="C134" s="4"/>
      <c r="E134" s="4"/>
      <c r="F134" s="4"/>
      <c r="G134" s="5"/>
    </row>
    <row r="135" spans="2:7" ht="15.75" customHeight="1">
      <c r="B135" s="4"/>
      <c r="C135" s="4"/>
      <c r="E135" s="4"/>
      <c r="F135" s="4"/>
      <c r="G135" s="5"/>
    </row>
    <row r="136" spans="2:7" ht="15.75" customHeight="1">
      <c r="B136" s="4"/>
      <c r="C136" s="4"/>
      <c r="E136" s="4"/>
      <c r="F136" s="4"/>
      <c r="G136" s="5"/>
    </row>
    <row r="137" spans="2:7" ht="15.75" customHeight="1">
      <c r="B137" s="4"/>
      <c r="C137" s="4"/>
      <c r="E137" s="4"/>
      <c r="F137" s="4"/>
      <c r="G137" s="5"/>
    </row>
    <row r="138" spans="2:7" ht="15.75" customHeight="1">
      <c r="B138" s="4"/>
      <c r="C138" s="4"/>
      <c r="E138" s="4"/>
      <c r="F138" s="4"/>
      <c r="G138" s="5"/>
    </row>
    <row r="139" spans="2:7" ht="15.75" customHeight="1">
      <c r="B139" s="4"/>
      <c r="C139" s="4"/>
      <c r="E139" s="4"/>
      <c r="F139" s="4"/>
      <c r="G139" s="5"/>
    </row>
    <row r="140" spans="2:7" ht="15.75" customHeight="1">
      <c r="B140" s="4"/>
      <c r="C140" s="4"/>
      <c r="E140" s="4"/>
      <c r="F140" s="4"/>
      <c r="G140" s="5"/>
    </row>
    <row r="141" spans="2:7" ht="15.75" customHeight="1">
      <c r="B141" s="4"/>
      <c r="C141" s="4"/>
      <c r="E141" s="4"/>
      <c r="F141" s="4"/>
      <c r="G141" s="5"/>
    </row>
    <row r="142" spans="2:7" ht="15.75" customHeight="1">
      <c r="B142" s="4"/>
      <c r="C142" s="4"/>
      <c r="E142" s="4"/>
      <c r="F142" s="4"/>
      <c r="G142" s="5"/>
    </row>
    <row r="143" spans="2:7" ht="15.75" customHeight="1">
      <c r="B143" s="4"/>
      <c r="C143" s="4"/>
      <c r="E143" s="4"/>
      <c r="F143" s="4"/>
      <c r="G143" s="5"/>
    </row>
    <row r="144" spans="2:7" ht="15.75" customHeight="1">
      <c r="B144" s="4"/>
      <c r="C144" s="4"/>
      <c r="E144" s="4"/>
      <c r="F144" s="4"/>
      <c r="G144" s="5"/>
    </row>
    <row r="145" spans="2:7" ht="15.75" customHeight="1">
      <c r="B145" s="4"/>
      <c r="C145" s="4"/>
      <c r="E145" s="4"/>
      <c r="F145" s="4"/>
      <c r="G145" s="5"/>
    </row>
    <row r="146" spans="2:7" ht="15.75" customHeight="1">
      <c r="B146" s="4"/>
      <c r="C146" s="4"/>
      <c r="E146" s="4"/>
      <c r="F146" s="4"/>
      <c r="G146" s="5"/>
    </row>
    <row r="147" spans="2:7" ht="15.75" customHeight="1">
      <c r="B147" s="4"/>
      <c r="C147" s="4"/>
      <c r="E147" s="4"/>
      <c r="F147" s="4"/>
      <c r="G147" s="5"/>
    </row>
    <row r="148" spans="2:7" ht="15.75" customHeight="1">
      <c r="B148" s="4"/>
      <c r="C148" s="4"/>
      <c r="E148" s="4"/>
      <c r="F148" s="4"/>
      <c r="G148" s="5"/>
    </row>
    <row r="149" spans="2:7" ht="15.75" customHeight="1">
      <c r="B149" s="4"/>
      <c r="C149" s="4"/>
      <c r="E149" s="4"/>
      <c r="F149" s="4"/>
      <c r="G149" s="5"/>
    </row>
    <row r="150" spans="2:7" ht="15.75" customHeight="1">
      <c r="B150" s="4"/>
      <c r="C150" s="4"/>
      <c r="E150" s="4"/>
      <c r="F150" s="4"/>
      <c r="G150" s="5"/>
    </row>
    <row r="151" spans="2:7" ht="15.75" customHeight="1">
      <c r="B151" s="4"/>
      <c r="C151" s="4"/>
      <c r="E151" s="4"/>
      <c r="F151" s="4"/>
      <c r="G151" s="5"/>
    </row>
    <row r="152" spans="2:7" ht="15.75" customHeight="1">
      <c r="B152" s="4"/>
      <c r="C152" s="4"/>
      <c r="E152" s="4"/>
      <c r="F152" s="4"/>
      <c r="G152" s="5"/>
    </row>
    <row r="153" spans="2:7" ht="15.75" customHeight="1">
      <c r="B153" s="4"/>
      <c r="C153" s="4"/>
      <c r="E153" s="4"/>
      <c r="F153" s="4"/>
      <c r="G153" s="5"/>
    </row>
    <row r="154" spans="2:7" ht="15.75" customHeight="1">
      <c r="B154" s="4"/>
      <c r="C154" s="4"/>
      <c r="E154" s="4"/>
      <c r="F154" s="4"/>
      <c r="G154" s="5"/>
    </row>
    <row r="155" spans="2:7" ht="15.75" customHeight="1">
      <c r="B155" s="4"/>
      <c r="C155" s="4"/>
      <c r="E155" s="4"/>
      <c r="F155" s="4"/>
      <c r="G155" s="5"/>
    </row>
    <row r="156" spans="2:7" ht="15.75" customHeight="1">
      <c r="B156" s="4"/>
      <c r="C156" s="4"/>
      <c r="E156" s="4"/>
      <c r="F156" s="4"/>
      <c r="G156" s="5"/>
    </row>
    <row r="157" spans="2:7" ht="15.75" customHeight="1">
      <c r="B157" s="4"/>
      <c r="C157" s="4"/>
      <c r="E157" s="4"/>
      <c r="F157" s="4"/>
      <c r="G157" s="5"/>
    </row>
    <row r="158" spans="2:7" ht="15.75" customHeight="1">
      <c r="B158" s="4"/>
      <c r="C158" s="4"/>
      <c r="E158" s="4"/>
      <c r="F158" s="4"/>
      <c r="G158" s="5"/>
    </row>
    <row r="159" spans="2:7" ht="15.75" customHeight="1">
      <c r="B159" s="4"/>
      <c r="C159" s="4"/>
      <c r="E159" s="4"/>
      <c r="F159" s="4"/>
      <c r="G159" s="5"/>
    </row>
    <row r="160" spans="2:7" ht="15.75" customHeight="1">
      <c r="B160" s="4"/>
      <c r="C160" s="4"/>
      <c r="E160" s="4"/>
      <c r="F160" s="4"/>
      <c r="G160" s="5"/>
    </row>
    <row r="161" spans="2:7" ht="15.75" customHeight="1">
      <c r="B161" s="4"/>
      <c r="C161" s="4"/>
      <c r="E161" s="4"/>
      <c r="F161" s="4"/>
      <c r="G161" s="5"/>
    </row>
    <row r="162" spans="2:7" ht="15.75" customHeight="1">
      <c r="B162" s="4"/>
      <c r="C162" s="4"/>
      <c r="E162" s="4"/>
      <c r="F162" s="4"/>
      <c r="G162" s="5"/>
    </row>
    <row r="163" spans="2:7" ht="15.75" customHeight="1">
      <c r="B163" s="4"/>
      <c r="C163" s="4"/>
      <c r="E163" s="4"/>
      <c r="F163" s="4"/>
      <c r="G163" s="5"/>
    </row>
    <row r="164" spans="2:7" ht="15.75" customHeight="1">
      <c r="B164" s="4"/>
      <c r="C164" s="4"/>
      <c r="E164" s="4"/>
      <c r="F164" s="4"/>
      <c r="G164" s="5"/>
    </row>
    <row r="165" spans="2:7" ht="15.75" customHeight="1">
      <c r="B165" s="4"/>
      <c r="C165" s="4"/>
      <c r="E165" s="4"/>
      <c r="F165" s="4"/>
      <c r="G165" s="5"/>
    </row>
    <row r="166" spans="2:7" ht="15.75" customHeight="1">
      <c r="B166" s="4"/>
      <c r="C166" s="4"/>
      <c r="E166" s="4"/>
      <c r="F166" s="4"/>
      <c r="G166" s="5"/>
    </row>
    <row r="167" spans="2:7" ht="15.75" customHeight="1">
      <c r="B167" s="4"/>
      <c r="C167" s="4"/>
      <c r="E167" s="4"/>
      <c r="F167" s="4"/>
      <c r="G167" s="5"/>
    </row>
    <row r="168" spans="2:7" ht="15.75" customHeight="1">
      <c r="B168" s="4"/>
      <c r="C168" s="4"/>
      <c r="E168" s="4"/>
      <c r="F168" s="4"/>
      <c r="G168" s="5"/>
    </row>
    <row r="169" spans="2:7" ht="15.75" customHeight="1">
      <c r="B169" s="4"/>
      <c r="C169" s="4"/>
      <c r="E169" s="4"/>
      <c r="F169" s="4"/>
      <c r="G169" s="5"/>
    </row>
    <row r="170" spans="2:7" ht="15.75" customHeight="1">
      <c r="B170" s="4"/>
      <c r="C170" s="4"/>
      <c r="E170" s="4"/>
      <c r="F170" s="4"/>
      <c r="G170" s="5"/>
    </row>
    <row r="171" spans="2:7" ht="15.75" customHeight="1">
      <c r="B171" s="4"/>
      <c r="C171" s="4"/>
      <c r="E171" s="4"/>
      <c r="F171" s="4"/>
      <c r="G171" s="5"/>
    </row>
    <row r="172" spans="2:7" ht="15.75" customHeight="1">
      <c r="B172" s="4"/>
      <c r="C172" s="4"/>
      <c r="E172" s="4"/>
      <c r="F172" s="4"/>
      <c r="G172" s="5"/>
    </row>
    <row r="173" spans="2:7" ht="15.75" customHeight="1">
      <c r="B173" s="4"/>
      <c r="C173" s="4"/>
      <c r="E173" s="4"/>
      <c r="F173" s="4"/>
      <c r="G173" s="5"/>
    </row>
    <row r="174" spans="2:7" ht="15.75" customHeight="1">
      <c r="B174" s="4"/>
      <c r="C174" s="4"/>
      <c r="E174" s="4"/>
      <c r="F174" s="4"/>
      <c r="G174" s="5"/>
    </row>
    <row r="175" spans="2:7" ht="15.75" customHeight="1">
      <c r="B175" s="4"/>
      <c r="C175" s="4"/>
      <c r="E175" s="4"/>
      <c r="F175" s="4"/>
      <c r="G175" s="5"/>
    </row>
    <row r="176" spans="2:7" ht="15.75" customHeight="1">
      <c r="B176" s="4"/>
      <c r="C176" s="4"/>
      <c r="E176" s="4"/>
      <c r="F176" s="4"/>
      <c r="G176" s="5"/>
    </row>
    <row r="177" spans="2:7" ht="15.75" customHeight="1">
      <c r="B177" s="4"/>
      <c r="C177" s="4"/>
      <c r="E177" s="4"/>
      <c r="F177" s="4"/>
      <c r="G177" s="5"/>
    </row>
    <row r="178" spans="2:7" ht="15.75" customHeight="1">
      <c r="B178" s="4"/>
      <c r="C178" s="4"/>
      <c r="E178" s="4"/>
      <c r="F178" s="4"/>
      <c r="G178" s="5"/>
    </row>
    <row r="179" spans="2:7" ht="15.75" customHeight="1">
      <c r="B179" s="4"/>
      <c r="C179" s="4"/>
      <c r="E179" s="4"/>
      <c r="F179" s="4"/>
      <c r="G179" s="5"/>
    </row>
    <row r="180" spans="2:7" ht="15.75" customHeight="1">
      <c r="B180" s="4"/>
      <c r="C180" s="4"/>
      <c r="E180" s="4"/>
      <c r="F180" s="4"/>
      <c r="G180" s="5"/>
    </row>
    <row r="181" spans="2:7" ht="15.75" customHeight="1">
      <c r="B181" s="4"/>
      <c r="C181" s="4"/>
      <c r="E181" s="4"/>
      <c r="F181" s="4"/>
      <c r="G181" s="5"/>
    </row>
    <row r="182" spans="2:7" ht="15.75" customHeight="1">
      <c r="B182" s="4"/>
      <c r="C182" s="4"/>
      <c r="E182" s="4"/>
      <c r="F182" s="4"/>
      <c r="G182" s="5"/>
    </row>
    <row r="183" spans="2:7" ht="15.75" customHeight="1">
      <c r="B183" s="4"/>
      <c r="C183" s="4"/>
      <c r="E183" s="4"/>
      <c r="F183" s="4"/>
      <c r="G183" s="5"/>
    </row>
    <row r="184" spans="2:7" ht="15.75" customHeight="1">
      <c r="B184" s="4"/>
      <c r="C184" s="4"/>
      <c r="E184" s="4"/>
      <c r="F184" s="4"/>
      <c r="G184" s="5"/>
    </row>
    <row r="185" spans="2:7" ht="15.75" customHeight="1">
      <c r="B185" s="4"/>
      <c r="C185" s="4"/>
      <c r="E185" s="4"/>
      <c r="F185" s="4"/>
      <c r="G185" s="5"/>
    </row>
    <row r="186" spans="2:7" ht="15.75" customHeight="1">
      <c r="B186" s="4"/>
      <c r="C186" s="4"/>
      <c r="E186" s="4"/>
      <c r="F186" s="4"/>
      <c r="G186" s="5"/>
    </row>
    <row r="187" spans="2:7" ht="15.75" customHeight="1">
      <c r="B187" s="4"/>
      <c r="C187" s="4"/>
      <c r="E187" s="4"/>
      <c r="F187" s="4"/>
      <c r="G187" s="5"/>
    </row>
    <row r="188" spans="2:7" ht="15.75" customHeight="1">
      <c r="B188" s="4"/>
      <c r="C188" s="4"/>
      <c r="E188" s="4"/>
      <c r="F188" s="4"/>
      <c r="G188" s="5"/>
    </row>
    <row r="189" spans="2:7" ht="15.75" customHeight="1">
      <c r="B189" s="4"/>
      <c r="C189" s="4"/>
      <c r="E189" s="4"/>
      <c r="F189" s="4"/>
      <c r="G189" s="5"/>
    </row>
    <row r="190" spans="2:7" ht="15.75" customHeight="1">
      <c r="B190" s="4"/>
      <c r="C190" s="4"/>
      <c r="E190" s="4"/>
      <c r="F190" s="4"/>
      <c r="G190" s="5"/>
    </row>
    <row r="191" spans="2:7" ht="15.75" customHeight="1">
      <c r="B191" s="4"/>
      <c r="C191" s="4"/>
      <c r="E191" s="4"/>
      <c r="F191" s="4"/>
      <c r="G191" s="5"/>
    </row>
    <row r="192" spans="2:7" ht="15.75" customHeight="1">
      <c r="B192" s="4"/>
      <c r="C192" s="4"/>
      <c r="E192" s="4"/>
      <c r="F192" s="4"/>
      <c r="G192" s="5"/>
    </row>
    <row r="193" spans="2:7" ht="15.75" customHeight="1">
      <c r="B193" s="4"/>
      <c r="C193" s="4"/>
      <c r="E193" s="4"/>
      <c r="F193" s="4"/>
      <c r="G193" s="5"/>
    </row>
    <row r="194" spans="2:7" ht="15.75" customHeight="1">
      <c r="B194" s="4"/>
      <c r="C194" s="4"/>
      <c r="E194" s="4"/>
      <c r="F194" s="4"/>
      <c r="G194" s="5"/>
    </row>
    <row r="195" spans="2:7" ht="15.75" customHeight="1">
      <c r="B195" s="4"/>
      <c r="C195" s="4"/>
      <c r="E195" s="4"/>
      <c r="F195" s="4"/>
      <c r="G195" s="5"/>
    </row>
    <row r="196" spans="2:7" ht="15.75" customHeight="1">
      <c r="B196" s="4"/>
      <c r="C196" s="4"/>
      <c r="E196" s="4"/>
      <c r="F196" s="4"/>
      <c r="G196" s="5"/>
    </row>
    <row r="197" spans="2:7" ht="15.75" customHeight="1">
      <c r="B197" s="4"/>
      <c r="C197" s="4"/>
      <c r="E197" s="4"/>
      <c r="F197" s="4"/>
      <c r="G197" s="5"/>
    </row>
    <row r="198" spans="2:7" ht="15.75" customHeight="1">
      <c r="B198" s="4"/>
      <c r="C198" s="4"/>
      <c r="E198" s="4"/>
      <c r="F198" s="4"/>
      <c r="G198" s="5"/>
    </row>
    <row r="199" spans="2:7" ht="15.75" customHeight="1">
      <c r="B199" s="4"/>
      <c r="C199" s="4"/>
      <c r="E199" s="4"/>
      <c r="F199" s="4"/>
      <c r="G199" s="5"/>
    </row>
    <row r="200" spans="2:7" ht="15.75" customHeight="1">
      <c r="B200" s="4"/>
      <c r="C200" s="4"/>
      <c r="E200" s="4"/>
      <c r="F200" s="4"/>
      <c r="G200" s="5"/>
    </row>
    <row r="201" spans="2:7" ht="15.75" customHeight="1">
      <c r="B201" s="4"/>
      <c r="C201" s="4"/>
      <c r="E201" s="4"/>
      <c r="F201" s="4"/>
      <c r="G201" s="5"/>
    </row>
    <row r="202" spans="2:7" ht="15.75" customHeight="1">
      <c r="B202" s="4"/>
      <c r="C202" s="4"/>
      <c r="E202" s="4"/>
      <c r="F202" s="4"/>
      <c r="G202" s="5"/>
    </row>
    <row r="203" spans="2:7" ht="15.75" customHeight="1">
      <c r="B203" s="4"/>
      <c r="C203" s="4"/>
      <c r="E203" s="4"/>
      <c r="F203" s="4"/>
      <c r="G203" s="5"/>
    </row>
    <row r="204" spans="2:7" ht="15.75" customHeight="1">
      <c r="B204" s="4"/>
      <c r="C204" s="4"/>
      <c r="E204" s="4"/>
      <c r="F204" s="4"/>
      <c r="G204" s="5"/>
    </row>
    <row r="205" spans="2:7" ht="15.75" customHeight="1">
      <c r="B205" s="4"/>
      <c r="C205" s="4"/>
      <c r="E205" s="4"/>
      <c r="F205" s="4"/>
      <c r="G205" s="5"/>
    </row>
    <row r="206" spans="2:7" ht="15.75" customHeight="1">
      <c r="B206" s="4"/>
      <c r="C206" s="4"/>
      <c r="E206" s="4"/>
      <c r="F206" s="4"/>
      <c r="G206" s="5"/>
    </row>
    <row r="207" spans="2:7" ht="15.75" customHeight="1">
      <c r="B207" s="4"/>
      <c r="C207" s="4"/>
      <c r="E207" s="4"/>
      <c r="F207" s="4"/>
      <c r="G207" s="5"/>
    </row>
    <row r="208" spans="2:7" ht="15.75" customHeight="1">
      <c r="B208" s="4"/>
      <c r="C208" s="4"/>
      <c r="E208" s="4"/>
      <c r="F208" s="4"/>
      <c r="G208" s="5"/>
    </row>
    <row r="209" spans="2:7" ht="15.75" customHeight="1">
      <c r="B209" s="4"/>
      <c r="C209" s="4"/>
      <c r="E209" s="4"/>
      <c r="F209" s="4"/>
      <c r="G209" s="5"/>
    </row>
    <row r="210" spans="2:7" ht="15.75" customHeight="1">
      <c r="B210" s="4"/>
      <c r="C210" s="4"/>
      <c r="E210" s="4"/>
      <c r="F210" s="4"/>
      <c r="G210" s="5"/>
    </row>
    <row r="211" spans="2:7" ht="15.75" customHeight="1">
      <c r="B211" s="4"/>
      <c r="C211" s="4"/>
      <c r="E211" s="4"/>
      <c r="F211" s="4"/>
      <c r="G211" s="5"/>
    </row>
    <row r="212" spans="2:7" ht="15.75" customHeight="1">
      <c r="B212" s="4"/>
      <c r="C212" s="4"/>
      <c r="E212" s="4"/>
      <c r="F212" s="4"/>
      <c r="G212" s="5"/>
    </row>
    <row r="213" spans="2:7" ht="15.75" customHeight="1">
      <c r="B213" s="4"/>
      <c r="C213" s="4"/>
      <c r="E213" s="4"/>
      <c r="F213" s="4"/>
      <c r="G213" s="5"/>
    </row>
    <row r="214" spans="2:7" ht="15.75" customHeight="1">
      <c r="B214" s="4"/>
      <c r="C214" s="4"/>
      <c r="E214" s="4"/>
      <c r="F214" s="4"/>
      <c r="G214" s="5"/>
    </row>
    <row r="215" spans="2:7" ht="15.75" customHeight="1">
      <c r="B215" s="4"/>
      <c r="C215" s="4"/>
      <c r="E215" s="4"/>
      <c r="F215" s="4"/>
      <c r="G215" s="5"/>
    </row>
    <row r="216" spans="2:7" ht="15.75" customHeight="1">
      <c r="B216" s="4"/>
      <c r="C216" s="4"/>
      <c r="E216" s="4"/>
      <c r="F216" s="4"/>
      <c r="G216" s="5"/>
    </row>
    <row r="217" spans="2:7" ht="15.75" customHeight="1">
      <c r="B217" s="4"/>
      <c r="C217" s="4"/>
      <c r="E217" s="4"/>
      <c r="F217" s="4"/>
      <c r="G217" s="5"/>
    </row>
    <row r="218" spans="2:7" ht="15.75" customHeight="1">
      <c r="B218" s="4"/>
      <c r="C218" s="4"/>
      <c r="E218" s="4"/>
      <c r="F218" s="4"/>
      <c r="G218" s="5"/>
    </row>
    <row r="219" spans="2:7" ht="15.75" customHeight="1">
      <c r="B219" s="4"/>
      <c r="C219" s="4"/>
      <c r="E219" s="4"/>
      <c r="F219" s="4"/>
      <c r="G219" s="5"/>
    </row>
    <row r="220" spans="2:7" ht="15.75" customHeight="1">
      <c r="B220" s="4"/>
      <c r="C220" s="4"/>
      <c r="E220" s="4"/>
      <c r="F220" s="4"/>
      <c r="G220" s="5"/>
    </row>
    <row r="221" spans="2:7" ht="15.75" customHeight="1">
      <c r="B221" s="4"/>
      <c r="C221" s="4"/>
      <c r="E221" s="4"/>
      <c r="F221" s="4"/>
      <c r="G221" s="5"/>
    </row>
    <row r="222" spans="2:7" ht="15.75" customHeight="1">
      <c r="B222" s="4"/>
      <c r="C222" s="4"/>
      <c r="E222" s="4"/>
      <c r="F222" s="4"/>
      <c r="G222" s="5"/>
    </row>
    <row r="223" spans="2:7" ht="15.75" customHeight="1">
      <c r="B223" s="4"/>
      <c r="C223" s="4"/>
      <c r="E223" s="4"/>
      <c r="F223" s="4"/>
      <c r="G223" s="5"/>
    </row>
    <row r="224" spans="2:7" ht="15.75" customHeight="1">
      <c r="B224" s="4"/>
      <c r="C224" s="4"/>
      <c r="E224" s="4"/>
      <c r="F224" s="4"/>
      <c r="G224" s="5"/>
    </row>
    <row r="225" spans="2:7" ht="15.75" customHeight="1">
      <c r="B225" s="4"/>
      <c r="C225" s="4"/>
      <c r="E225" s="4"/>
      <c r="F225" s="4"/>
      <c r="G225" s="5"/>
    </row>
    <row r="226" spans="2:7" ht="15.75" customHeight="1">
      <c r="B226" s="4"/>
      <c r="C226" s="4"/>
      <c r="E226" s="4"/>
      <c r="F226" s="4"/>
      <c r="G226" s="5"/>
    </row>
    <row r="227" spans="2:7" ht="15.75" customHeight="1">
      <c r="B227" s="4"/>
      <c r="C227" s="4"/>
      <c r="E227" s="4"/>
      <c r="F227" s="4"/>
      <c r="G227" s="5"/>
    </row>
    <row r="228" spans="2:7" ht="15.75" customHeight="1">
      <c r="B228" s="4"/>
      <c r="C228" s="4"/>
      <c r="E228" s="4"/>
      <c r="F228" s="4"/>
      <c r="G228" s="5"/>
    </row>
    <row r="229" spans="2:7" ht="15.75" customHeight="1">
      <c r="B229" s="4"/>
      <c r="C229" s="4"/>
      <c r="E229" s="4"/>
      <c r="F229" s="4"/>
      <c r="G229" s="5"/>
    </row>
    <row r="230" spans="2:7" ht="15.75" customHeight="1">
      <c r="B230" s="4"/>
      <c r="C230" s="4"/>
      <c r="E230" s="4"/>
      <c r="F230" s="4"/>
      <c r="G230" s="5"/>
    </row>
    <row r="231" spans="2:7" ht="15.75" customHeight="1">
      <c r="B231" s="4"/>
      <c r="C231" s="4"/>
      <c r="E231" s="4"/>
      <c r="F231" s="4"/>
      <c r="G231" s="5"/>
    </row>
    <row r="232" spans="2:7" ht="15.75" customHeight="1">
      <c r="B232" s="4"/>
      <c r="C232" s="4"/>
      <c r="E232" s="4"/>
      <c r="F232" s="4"/>
      <c r="G232" s="5"/>
    </row>
    <row r="233" spans="2:7" ht="15.75" customHeight="1">
      <c r="B233" s="4"/>
      <c r="C233" s="4"/>
      <c r="E233" s="4"/>
      <c r="F233" s="4"/>
      <c r="G233" s="5"/>
    </row>
    <row r="234" spans="2:7" ht="15.75" customHeight="1">
      <c r="B234" s="4"/>
      <c r="C234" s="4"/>
      <c r="E234" s="4"/>
      <c r="F234" s="4"/>
      <c r="G234" s="5"/>
    </row>
    <row r="235" spans="2:7" ht="15.75" customHeight="1">
      <c r="B235" s="4"/>
      <c r="C235" s="4"/>
      <c r="E235" s="4"/>
      <c r="F235" s="4"/>
      <c r="G235" s="5"/>
    </row>
    <row r="236" spans="2:7" ht="15.75" customHeight="1">
      <c r="B236" s="4"/>
      <c r="C236" s="4"/>
      <c r="E236" s="4"/>
      <c r="F236" s="4"/>
      <c r="G236" s="5"/>
    </row>
    <row r="237" spans="2:7" ht="15.75" customHeight="1">
      <c r="B237" s="4"/>
      <c r="C237" s="4"/>
      <c r="E237" s="4"/>
      <c r="F237" s="4"/>
      <c r="G237" s="5"/>
    </row>
    <row r="238" spans="2:7" ht="15.75" customHeight="1">
      <c r="B238" s="4"/>
      <c r="C238" s="4"/>
      <c r="E238" s="4"/>
      <c r="F238" s="4"/>
      <c r="G238" s="5"/>
    </row>
    <row r="239" spans="2:7" ht="15.75" customHeight="1">
      <c r="B239" s="4"/>
      <c r="C239" s="4"/>
      <c r="E239" s="4"/>
      <c r="F239" s="4"/>
      <c r="G239" s="5"/>
    </row>
    <row r="240" spans="2:7" ht="15.75" customHeight="1">
      <c r="B240" s="4"/>
      <c r="C240" s="4"/>
      <c r="E240" s="4"/>
      <c r="F240" s="4"/>
      <c r="G240" s="5"/>
    </row>
    <row r="241" spans="2:7" ht="15.75" customHeight="1">
      <c r="B241" s="4"/>
      <c r="C241" s="4"/>
      <c r="E241" s="4"/>
      <c r="F241" s="4"/>
      <c r="G241" s="5"/>
    </row>
    <row r="242" spans="2:7" ht="15.75" customHeight="1">
      <c r="B242" s="4"/>
      <c r="C242" s="4"/>
      <c r="E242" s="4"/>
      <c r="F242" s="4"/>
      <c r="G242" s="5"/>
    </row>
    <row r="243" spans="2:7" ht="15.75" customHeight="1">
      <c r="B243" s="4"/>
      <c r="C243" s="4"/>
      <c r="E243" s="4"/>
      <c r="F243" s="4"/>
      <c r="G243" s="5"/>
    </row>
    <row r="244" spans="2:7" ht="15.75" customHeight="1">
      <c r="B244" s="4"/>
      <c r="C244" s="4"/>
      <c r="E244" s="4"/>
      <c r="F244" s="4"/>
      <c r="G244" s="5"/>
    </row>
    <row r="245" spans="2:7" ht="15.75" customHeight="1">
      <c r="B245" s="4"/>
      <c r="C245" s="4"/>
      <c r="E245" s="4"/>
      <c r="F245" s="4"/>
      <c r="G245" s="5"/>
    </row>
    <row r="246" spans="2:7" ht="15.75" customHeight="1">
      <c r="B246" s="4"/>
      <c r="C246" s="4"/>
      <c r="E246" s="4"/>
      <c r="F246" s="4"/>
      <c r="G246" s="5"/>
    </row>
    <row r="247" spans="2:7" ht="15.75" customHeight="1">
      <c r="B247" s="4"/>
      <c r="C247" s="4"/>
      <c r="E247" s="4"/>
      <c r="F247" s="4"/>
      <c r="G247" s="5"/>
    </row>
    <row r="248" spans="2:7" ht="15.75" customHeight="1">
      <c r="B248" s="4"/>
      <c r="C248" s="4"/>
      <c r="E248" s="4"/>
      <c r="F248" s="4"/>
      <c r="G248" s="5"/>
    </row>
    <row r="249" spans="2:7" ht="15.75" customHeight="1">
      <c r="B249" s="4"/>
      <c r="C249" s="4"/>
      <c r="E249" s="4"/>
      <c r="F249" s="4"/>
      <c r="G249" s="5"/>
    </row>
    <row r="250" spans="2:7" ht="15.75" customHeight="1">
      <c r="B250" s="4"/>
      <c r="C250" s="4"/>
      <c r="E250" s="4"/>
      <c r="F250" s="4"/>
      <c r="G250" s="5"/>
    </row>
    <row r="251" spans="2:7" ht="15.75" customHeight="1">
      <c r="B251" s="4"/>
      <c r="C251" s="4"/>
      <c r="E251" s="4"/>
      <c r="F251" s="4"/>
      <c r="G251" s="5"/>
    </row>
    <row r="252" spans="2:7" ht="15.75" customHeight="1">
      <c r="B252" s="4"/>
      <c r="C252" s="4"/>
      <c r="E252" s="4"/>
      <c r="F252" s="4"/>
      <c r="G252" s="5"/>
    </row>
    <row r="253" spans="2:7" ht="15.75" customHeight="1">
      <c r="B253" s="4"/>
      <c r="C253" s="4"/>
      <c r="E253" s="4"/>
      <c r="F253" s="4"/>
      <c r="G253" s="5"/>
    </row>
    <row r="254" spans="2:7" ht="15.75" customHeight="1">
      <c r="B254" s="4"/>
      <c r="C254" s="4"/>
      <c r="E254" s="4"/>
      <c r="F254" s="4"/>
      <c r="G254" s="5"/>
    </row>
    <row r="255" spans="2:7" ht="15.75" customHeight="1">
      <c r="B255" s="4"/>
      <c r="C255" s="4"/>
      <c r="E255" s="4"/>
      <c r="F255" s="4"/>
      <c r="G255" s="5"/>
    </row>
    <row r="256" spans="2:7" ht="15.75" customHeight="1">
      <c r="B256" s="4"/>
      <c r="C256" s="4"/>
      <c r="E256" s="4"/>
      <c r="F256" s="4"/>
      <c r="G256" s="5"/>
    </row>
    <row r="257" spans="2:7" ht="15.75" customHeight="1">
      <c r="B257" s="4"/>
      <c r="C257" s="4"/>
      <c r="E257" s="4"/>
      <c r="F257" s="4"/>
      <c r="G257" s="5"/>
    </row>
    <row r="258" spans="2:7" ht="15.75" customHeight="1">
      <c r="B258" s="4"/>
      <c r="C258" s="4"/>
      <c r="E258" s="4"/>
      <c r="F258" s="4"/>
      <c r="G258" s="5"/>
    </row>
    <row r="259" spans="2:7" ht="15.75" customHeight="1">
      <c r="B259" s="4"/>
      <c r="C259" s="4"/>
      <c r="E259" s="4"/>
      <c r="F259" s="4"/>
      <c r="G259" s="5"/>
    </row>
    <row r="260" spans="2:7" ht="15.75" customHeight="1">
      <c r="B260" s="4"/>
      <c r="C260" s="4"/>
      <c r="E260" s="4"/>
      <c r="F260" s="4"/>
      <c r="G260" s="5"/>
    </row>
    <row r="261" spans="2:7" ht="15.75" customHeight="1">
      <c r="B261" s="4"/>
      <c r="C261" s="4"/>
      <c r="E261" s="4"/>
      <c r="F261" s="4"/>
      <c r="G261" s="5"/>
    </row>
    <row r="262" spans="2:7" ht="15.75" customHeight="1">
      <c r="B262" s="4"/>
      <c r="C262" s="4"/>
      <c r="E262" s="4"/>
      <c r="F262" s="4"/>
      <c r="G262" s="5"/>
    </row>
    <row r="263" spans="2:7" ht="15.75" customHeight="1">
      <c r="B263" s="4"/>
      <c r="C263" s="4"/>
      <c r="E263" s="4"/>
      <c r="F263" s="4"/>
      <c r="G263" s="5"/>
    </row>
    <row r="264" spans="2:7" ht="15.75" customHeight="1">
      <c r="B264" s="4"/>
      <c r="C264" s="4"/>
      <c r="E264" s="4"/>
      <c r="F264" s="4"/>
      <c r="G264" s="5"/>
    </row>
    <row r="265" spans="2:7" ht="15.75" customHeight="1">
      <c r="B265" s="4"/>
      <c r="C265" s="4"/>
      <c r="E265" s="4"/>
      <c r="F265" s="4"/>
      <c r="G265" s="5"/>
    </row>
    <row r="266" spans="2:7" ht="15.75" customHeight="1">
      <c r="B266" s="4"/>
      <c r="C266" s="4"/>
      <c r="E266" s="4"/>
      <c r="F266" s="4"/>
      <c r="G266" s="5"/>
    </row>
    <row r="267" spans="2:7" ht="15.75" customHeight="1">
      <c r="B267" s="4"/>
      <c r="C267" s="4"/>
      <c r="E267" s="4"/>
      <c r="F267" s="4"/>
      <c r="G267" s="5"/>
    </row>
    <row r="268" spans="2:7" ht="15.75" customHeight="1">
      <c r="B268" s="4"/>
      <c r="C268" s="4"/>
      <c r="E268" s="4"/>
      <c r="F268" s="4"/>
      <c r="G268" s="5"/>
    </row>
    <row r="269" spans="2:7" ht="15.75" customHeight="1">
      <c r="B269" s="4"/>
      <c r="C269" s="4"/>
      <c r="E269" s="4"/>
      <c r="F269" s="4"/>
      <c r="G269" s="5"/>
    </row>
    <row r="270" spans="2:7" ht="15.75" customHeight="1">
      <c r="B270" s="4"/>
      <c r="C270" s="4"/>
      <c r="E270" s="4"/>
      <c r="F270" s="4"/>
      <c r="G270" s="5"/>
    </row>
    <row r="271" spans="2:7" ht="15.75" customHeight="1">
      <c r="B271" s="4"/>
      <c r="C271" s="4"/>
      <c r="E271" s="4"/>
      <c r="F271" s="4"/>
      <c r="G271" s="5"/>
    </row>
    <row r="272" spans="2:7" ht="15.75" customHeight="1">
      <c r="B272" s="4"/>
      <c r="C272" s="4"/>
      <c r="E272" s="4"/>
      <c r="F272" s="4"/>
      <c r="G272" s="5"/>
    </row>
    <row r="273" spans="2:7" ht="15.75" customHeight="1">
      <c r="B273" s="4"/>
      <c r="C273" s="4"/>
      <c r="E273" s="4"/>
      <c r="F273" s="4"/>
      <c r="G273" s="5"/>
    </row>
    <row r="274" spans="2:7" ht="15.75" customHeight="1">
      <c r="B274" s="4"/>
      <c r="C274" s="4"/>
      <c r="E274" s="4"/>
      <c r="F274" s="4"/>
      <c r="G274" s="5"/>
    </row>
    <row r="275" spans="2:7" ht="15.75" customHeight="1">
      <c r="B275" s="4"/>
      <c r="C275" s="4"/>
      <c r="E275" s="4"/>
      <c r="F275" s="4"/>
      <c r="G275" s="5"/>
    </row>
    <row r="276" spans="2:7" ht="15.75" customHeight="1">
      <c r="B276" s="4"/>
      <c r="C276" s="4"/>
      <c r="E276" s="4"/>
      <c r="F276" s="4"/>
      <c r="G276" s="5"/>
    </row>
    <row r="277" spans="2:7" ht="15.75" customHeight="1">
      <c r="B277" s="4"/>
      <c r="C277" s="4"/>
      <c r="E277" s="4"/>
      <c r="F277" s="4"/>
      <c r="G277" s="5"/>
    </row>
    <row r="278" spans="2:7" ht="15.75" customHeight="1">
      <c r="B278" s="4"/>
      <c r="C278" s="4"/>
      <c r="E278" s="4"/>
      <c r="F278" s="4"/>
      <c r="G278" s="5"/>
    </row>
    <row r="279" spans="2:7" ht="15.75" customHeight="1">
      <c r="B279" s="4"/>
      <c r="C279" s="4"/>
      <c r="E279" s="4"/>
      <c r="F279" s="4"/>
      <c r="G279" s="5"/>
    </row>
    <row r="280" spans="2:7" ht="15.75" customHeight="1">
      <c r="B280" s="4"/>
      <c r="C280" s="4"/>
      <c r="E280" s="4"/>
      <c r="F280" s="4"/>
      <c r="G280" s="5"/>
    </row>
    <row r="281" spans="2:7" ht="15.75" customHeight="1">
      <c r="B281" s="4"/>
      <c r="C281" s="4"/>
      <c r="E281" s="4"/>
      <c r="F281" s="4"/>
      <c r="G281" s="5"/>
    </row>
    <row r="282" spans="2:7" ht="15.75" customHeight="1">
      <c r="B282" s="4"/>
      <c r="C282" s="4"/>
      <c r="E282" s="4"/>
      <c r="F282" s="4"/>
      <c r="G282" s="5"/>
    </row>
    <row r="283" spans="2:7" ht="15.75" customHeight="1">
      <c r="B283" s="4"/>
      <c r="C283" s="4"/>
      <c r="E283" s="4"/>
      <c r="F283" s="4"/>
      <c r="G283" s="5"/>
    </row>
    <row r="284" spans="2:7" ht="15.75" customHeight="1">
      <c r="B284" s="4"/>
      <c r="C284" s="4"/>
      <c r="E284" s="4"/>
      <c r="F284" s="4"/>
      <c r="G284" s="5"/>
    </row>
    <row r="285" spans="2:7" ht="15.75" customHeight="1">
      <c r="B285" s="4"/>
      <c r="C285" s="4"/>
      <c r="E285" s="4"/>
      <c r="F285" s="4"/>
      <c r="G285" s="5"/>
    </row>
    <row r="286" spans="2:7" ht="15.75" customHeight="1">
      <c r="B286" s="4"/>
      <c r="C286" s="4"/>
      <c r="E286" s="4"/>
      <c r="F286" s="4"/>
      <c r="G286" s="5"/>
    </row>
    <row r="287" spans="2:7" ht="15.75" customHeight="1">
      <c r="B287" s="4"/>
      <c r="C287" s="4"/>
      <c r="E287" s="4"/>
      <c r="F287" s="4"/>
      <c r="G287" s="5"/>
    </row>
    <row r="288" spans="2:7" ht="15.75" customHeight="1">
      <c r="B288" s="4"/>
      <c r="C288" s="4"/>
      <c r="E288" s="4"/>
      <c r="F288" s="4"/>
      <c r="G288" s="5"/>
    </row>
    <row r="289" spans="2:7" ht="15.75" customHeight="1">
      <c r="B289" s="4"/>
      <c r="C289" s="4"/>
      <c r="E289" s="4"/>
      <c r="F289" s="4"/>
      <c r="G289" s="5"/>
    </row>
    <row r="290" spans="2:7" ht="15.75" customHeight="1">
      <c r="B290" s="4"/>
      <c r="C290" s="4"/>
      <c r="E290" s="4"/>
      <c r="F290" s="4"/>
      <c r="G290" s="5"/>
    </row>
    <row r="291" spans="2:7" ht="15.75" customHeight="1">
      <c r="B291" s="4"/>
      <c r="C291" s="4"/>
      <c r="E291" s="4"/>
      <c r="F291" s="4"/>
      <c r="G291" s="5"/>
    </row>
    <row r="292" spans="2:7" ht="15.75" customHeight="1">
      <c r="B292" s="4"/>
      <c r="C292" s="4"/>
      <c r="E292" s="4"/>
      <c r="F292" s="4"/>
      <c r="G292" s="5"/>
    </row>
    <row r="293" spans="2:7" ht="15.75" customHeight="1">
      <c r="B293" s="4"/>
      <c r="C293" s="4"/>
      <c r="E293" s="4"/>
      <c r="F293" s="4"/>
      <c r="G293" s="5"/>
    </row>
    <row r="294" spans="2:7" ht="15.75" customHeight="1">
      <c r="B294" s="4"/>
      <c r="C294" s="4"/>
      <c r="E294" s="4"/>
      <c r="F294" s="4"/>
      <c r="G294" s="5"/>
    </row>
    <row r="295" spans="2:7" ht="15.75" customHeight="1">
      <c r="B295" s="4"/>
      <c r="C295" s="4"/>
      <c r="E295" s="4"/>
      <c r="F295" s="4"/>
      <c r="G295" s="5"/>
    </row>
    <row r="296" spans="2:7" ht="15.75" customHeight="1">
      <c r="B296" s="4"/>
      <c r="C296" s="4"/>
      <c r="E296" s="4"/>
      <c r="F296" s="4"/>
      <c r="G296" s="5"/>
    </row>
    <row r="297" spans="2:7" ht="15.75" customHeight="1">
      <c r="B297" s="4"/>
      <c r="C297" s="4"/>
      <c r="E297" s="4"/>
      <c r="F297" s="4"/>
      <c r="G297" s="5"/>
    </row>
    <row r="298" spans="2:7" ht="15.75" customHeight="1">
      <c r="B298" s="4"/>
      <c r="C298" s="4"/>
      <c r="E298" s="4"/>
      <c r="F298" s="4"/>
      <c r="G298" s="5"/>
    </row>
    <row r="299" spans="2:7" ht="15.75" customHeight="1">
      <c r="B299" s="4"/>
      <c r="C299" s="4"/>
      <c r="E299" s="4"/>
      <c r="F299" s="4"/>
      <c r="G299" s="5"/>
    </row>
    <row r="300" spans="2:7" ht="15.75" customHeight="1">
      <c r="B300" s="4"/>
      <c r="C300" s="4"/>
      <c r="E300" s="4"/>
      <c r="F300" s="4"/>
      <c r="G300" s="5"/>
    </row>
    <row r="301" spans="2:7" ht="15.75" customHeight="1">
      <c r="B301" s="4"/>
      <c r="C301" s="4"/>
      <c r="E301" s="4"/>
      <c r="F301" s="4"/>
      <c r="G301" s="5"/>
    </row>
    <row r="302" spans="2:7" ht="15.75" customHeight="1">
      <c r="B302" s="4"/>
      <c r="C302" s="4"/>
      <c r="E302" s="4"/>
      <c r="F302" s="4"/>
      <c r="G302" s="5"/>
    </row>
    <row r="303" spans="2:7" ht="15.75" customHeight="1">
      <c r="B303" s="4"/>
      <c r="C303" s="4"/>
      <c r="E303" s="4"/>
      <c r="F303" s="4"/>
      <c r="G303" s="5"/>
    </row>
    <row r="304" spans="2:7" ht="15.75" customHeight="1">
      <c r="B304" s="4"/>
      <c r="C304" s="4"/>
      <c r="E304" s="4"/>
      <c r="F304" s="4"/>
      <c r="G304" s="5"/>
    </row>
    <row r="305" spans="2:7" ht="15.75" customHeight="1">
      <c r="B305" s="4"/>
      <c r="C305" s="4"/>
      <c r="E305" s="4"/>
      <c r="F305" s="4"/>
      <c r="G305" s="5"/>
    </row>
    <row r="306" spans="2:7" ht="15.75" customHeight="1">
      <c r="B306" s="4"/>
      <c r="C306" s="4"/>
      <c r="E306" s="4"/>
      <c r="F306" s="4"/>
      <c r="G306" s="5"/>
    </row>
    <row r="307" spans="2:7" ht="15.75" customHeight="1">
      <c r="B307" s="4"/>
      <c r="C307" s="4"/>
      <c r="E307" s="4"/>
      <c r="F307" s="4"/>
      <c r="G307" s="5"/>
    </row>
    <row r="308" spans="2:7" ht="15.75" customHeight="1">
      <c r="B308" s="4"/>
      <c r="C308" s="4"/>
      <c r="E308" s="4"/>
      <c r="F308" s="4"/>
      <c r="G308" s="5"/>
    </row>
    <row r="309" spans="2:7" ht="15.75" customHeight="1">
      <c r="B309" s="4"/>
      <c r="C309" s="4"/>
      <c r="E309" s="4"/>
      <c r="F309" s="4"/>
      <c r="G309" s="5"/>
    </row>
    <row r="310" spans="2:7" ht="15.75" customHeight="1">
      <c r="B310" s="4"/>
      <c r="C310" s="4"/>
      <c r="E310" s="4"/>
      <c r="F310" s="4"/>
      <c r="G310" s="5"/>
    </row>
    <row r="311" spans="2:7" ht="15.75" customHeight="1">
      <c r="B311" s="4"/>
      <c r="C311" s="4"/>
      <c r="E311" s="4"/>
      <c r="F311" s="4"/>
      <c r="G311" s="5"/>
    </row>
    <row r="312" spans="2:7" ht="15.75" customHeight="1">
      <c r="B312" s="4"/>
      <c r="C312" s="4"/>
      <c r="E312" s="4"/>
      <c r="F312" s="4"/>
      <c r="G312" s="5"/>
    </row>
    <row r="313" spans="2:7" ht="15.75" customHeight="1">
      <c r="B313" s="4"/>
      <c r="C313" s="4"/>
      <c r="E313" s="4"/>
      <c r="F313" s="4"/>
      <c r="G313" s="5"/>
    </row>
    <row r="314" spans="2:7" ht="15.75" customHeight="1">
      <c r="B314" s="4"/>
      <c r="C314" s="4"/>
      <c r="E314" s="4"/>
      <c r="F314" s="4"/>
      <c r="G314" s="5"/>
    </row>
    <row r="315" spans="2:7" ht="15.75" customHeight="1">
      <c r="B315" s="4"/>
      <c r="C315" s="4"/>
      <c r="E315" s="4"/>
      <c r="F315" s="4"/>
      <c r="G315" s="5"/>
    </row>
    <row r="316" spans="2:7" ht="15.75" customHeight="1">
      <c r="B316" s="4"/>
      <c r="C316" s="4"/>
      <c r="E316" s="4"/>
      <c r="F316" s="4"/>
      <c r="G316" s="5"/>
    </row>
    <row r="317" spans="2:7" ht="15.75" customHeight="1">
      <c r="B317" s="4"/>
      <c r="C317" s="4"/>
      <c r="E317" s="4"/>
      <c r="F317" s="4"/>
      <c r="G317" s="5"/>
    </row>
    <row r="318" spans="2:7" ht="15.75" customHeight="1">
      <c r="B318" s="4"/>
      <c r="C318" s="4"/>
      <c r="E318" s="4"/>
      <c r="F318" s="4"/>
      <c r="G318" s="5"/>
    </row>
    <row r="319" spans="2:7" ht="15.75" customHeight="1">
      <c r="B319" s="4"/>
      <c r="C319" s="4"/>
      <c r="E319" s="4"/>
      <c r="F319" s="4"/>
      <c r="G319" s="5"/>
    </row>
    <row r="320" spans="2:7" ht="15.75" customHeight="1">
      <c r="B320" s="4"/>
      <c r="C320" s="4"/>
      <c r="E320" s="4"/>
      <c r="F320" s="4"/>
      <c r="G320" s="5"/>
    </row>
    <row r="321" spans="2:7" ht="15.75" customHeight="1">
      <c r="B321" s="4"/>
      <c r="C321" s="4"/>
      <c r="E321" s="4"/>
      <c r="F321" s="4"/>
      <c r="G321" s="5"/>
    </row>
    <row r="322" spans="2:7" ht="15.75" customHeight="1">
      <c r="B322" s="4"/>
      <c r="C322" s="4"/>
      <c r="E322" s="4"/>
      <c r="F322" s="4"/>
      <c r="G322" s="5"/>
    </row>
    <row r="323" spans="2:7" ht="15.75" customHeight="1">
      <c r="B323" s="4"/>
      <c r="C323" s="4"/>
      <c r="E323" s="4"/>
      <c r="F323" s="4"/>
      <c r="G323" s="5"/>
    </row>
    <row r="324" spans="2:7" ht="15.75" customHeight="1">
      <c r="B324" s="4"/>
      <c r="C324" s="4"/>
      <c r="E324" s="4"/>
      <c r="F324" s="4"/>
      <c r="G324" s="5"/>
    </row>
    <row r="325" spans="2:7" ht="15.75" customHeight="1">
      <c r="B325" s="4"/>
      <c r="C325" s="4"/>
      <c r="E325" s="4"/>
      <c r="F325" s="4"/>
      <c r="G325" s="5"/>
    </row>
    <row r="326" spans="2:7" ht="15.75" customHeight="1">
      <c r="B326" s="4"/>
      <c r="C326" s="4"/>
      <c r="E326" s="4"/>
      <c r="F326" s="4"/>
      <c r="G326" s="5"/>
    </row>
    <row r="327" spans="2:7" ht="15.75" customHeight="1">
      <c r="B327" s="4"/>
      <c r="C327" s="4"/>
      <c r="E327" s="4"/>
      <c r="F327" s="4"/>
      <c r="G327" s="5"/>
    </row>
    <row r="328" spans="2:7" ht="15.75" customHeight="1">
      <c r="B328" s="4"/>
      <c r="C328" s="4"/>
      <c r="E328" s="4"/>
      <c r="F328" s="4"/>
      <c r="G328" s="5"/>
    </row>
    <row r="329" spans="2:7" ht="15.75" customHeight="1">
      <c r="B329" s="4"/>
      <c r="C329" s="4"/>
      <c r="E329" s="4"/>
      <c r="F329" s="4"/>
      <c r="G329" s="5"/>
    </row>
    <row r="330" spans="2:7" ht="15.75" customHeight="1">
      <c r="B330" s="4"/>
      <c r="C330" s="4"/>
      <c r="E330" s="4"/>
      <c r="F330" s="4"/>
      <c r="G330" s="5"/>
    </row>
    <row r="331" spans="2:7" ht="15.75" customHeight="1">
      <c r="B331" s="4"/>
      <c r="C331" s="4"/>
      <c r="E331" s="4"/>
      <c r="F331" s="4"/>
      <c r="G331" s="5"/>
    </row>
    <row r="332" spans="2:7" ht="15.75" customHeight="1">
      <c r="B332" s="4"/>
      <c r="C332" s="4"/>
      <c r="E332" s="4"/>
      <c r="F332" s="4"/>
      <c r="G332" s="5"/>
    </row>
    <row r="333" spans="2:7" ht="15.75" customHeight="1">
      <c r="B333" s="4"/>
      <c r="C333" s="4"/>
      <c r="E333" s="4"/>
      <c r="F333" s="4"/>
      <c r="G333" s="5"/>
    </row>
    <row r="334" spans="2:7" ht="15.75" customHeight="1">
      <c r="B334" s="4"/>
      <c r="C334" s="4"/>
      <c r="E334" s="4"/>
      <c r="F334" s="4"/>
      <c r="G334" s="5"/>
    </row>
    <row r="335" spans="2:7" ht="15.75" customHeight="1">
      <c r="B335" s="4"/>
      <c r="C335" s="4"/>
      <c r="E335" s="4"/>
      <c r="F335" s="4"/>
      <c r="G335" s="5"/>
    </row>
    <row r="336" spans="2:7" ht="15.75" customHeight="1">
      <c r="B336" s="4"/>
      <c r="C336" s="4"/>
      <c r="E336" s="4"/>
      <c r="F336" s="4"/>
      <c r="G336" s="5"/>
    </row>
    <row r="337" spans="2:7" ht="15.75" customHeight="1">
      <c r="B337" s="4"/>
      <c r="C337" s="4"/>
      <c r="E337" s="4"/>
      <c r="F337" s="4"/>
      <c r="G337" s="5"/>
    </row>
    <row r="338" spans="2:7" ht="15.75" customHeight="1">
      <c r="B338" s="4"/>
      <c r="C338" s="4"/>
      <c r="E338" s="4"/>
      <c r="F338" s="4"/>
      <c r="G338" s="5"/>
    </row>
    <row r="339" spans="2:7" ht="15.75" customHeight="1">
      <c r="B339" s="4"/>
      <c r="C339" s="4"/>
      <c r="E339" s="4"/>
      <c r="F339" s="4"/>
      <c r="G339" s="5"/>
    </row>
    <row r="340" spans="2:7" ht="15.75" customHeight="1">
      <c r="B340" s="4"/>
      <c r="C340" s="4"/>
      <c r="E340" s="4"/>
      <c r="F340" s="4"/>
      <c r="G340" s="5"/>
    </row>
    <row r="341" spans="2:7" ht="15.75" customHeight="1">
      <c r="B341" s="4"/>
      <c r="C341" s="4"/>
      <c r="E341" s="4"/>
      <c r="F341" s="4"/>
      <c r="G341" s="5"/>
    </row>
    <row r="342" spans="2:7" ht="15.75" customHeight="1">
      <c r="B342" s="4"/>
      <c r="C342" s="4"/>
      <c r="E342" s="4"/>
      <c r="F342" s="4"/>
      <c r="G342" s="5"/>
    </row>
    <row r="343" spans="2:7" ht="15.75" customHeight="1">
      <c r="B343" s="4"/>
      <c r="C343" s="4"/>
      <c r="E343" s="4"/>
      <c r="F343" s="4"/>
      <c r="G343" s="5"/>
    </row>
    <row r="344" spans="2:7" ht="15.75" customHeight="1">
      <c r="B344" s="4"/>
      <c r="C344" s="4"/>
      <c r="E344" s="4"/>
      <c r="F344" s="4"/>
      <c r="G344" s="5"/>
    </row>
    <row r="345" spans="2:7" ht="15.75" customHeight="1">
      <c r="B345" s="4"/>
      <c r="C345" s="4"/>
      <c r="E345" s="4"/>
      <c r="F345" s="4"/>
      <c r="G345" s="5"/>
    </row>
    <row r="346" spans="2:7" ht="15.75" customHeight="1">
      <c r="B346" s="4"/>
      <c r="C346" s="4"/>
      <c r="E346" s="4"/>
      <c r="F346" s="4"/>
      <c r="G346" s="5"/>
    </row>
    <row r="347" spans="2:7" ht="15.75" customHeight="1">
      <c r="B347" s="4"/>
      <c r="C347" s="4"/>
      <c r="E347" s="4"/>
      <c r="F347" s="4"/>
      <c r="G347" s="5"/>
    </row>
    <row r="348" spans="2:7" ht="15.75" customHeight="1">
      <c r="B348" s="4"/>
      <c r="C348" s="4"/>
      <c r="E348" s="4"/>
      <c r="F348" s="4"/>
      <c r="G348" s="5"/>
    </row>
    <row r="349" spans="2:7" ht="15.75" customHeight="1">
      <c r="B349" s="4"/>
      <c r="C349" s="4"/>
      <c r="E349" s="4"/>
      <c r="F349" s="4"/>
      <c r="G349" s="5"/>
    </row>
    <row r="350" spans="2:7" ht="15.75" customHeight="1">
      <c r="B350" s="4"/>
      <c r="C350" s="4"/>
      <c r="E350" s="4"/>
      <c r="F350" s="4"/>
      <c r="G350" s="5"/>
    </row>
    <row r="351" spans="2:7" ht="15.75" customHeight="1">
      <c r="B351" s="4"/>
      <c r="C351" s="4"/>
      <c r="E351" s="4"/>
      <c r="F351" s="4"/>
      <c r="G351" s="5"/>
    </row>
    <row r="352" spans="2:7" ht="15.75" customHeight="1">
      <c r="B352" s="4"/>
      <c r="C352" s="4"/>
      <c r="E352" s="4"/>
      <c r="F352" s="4"/>
      <c r="G352" s="5"/>
    </row>
    <row r="353" spans="2:7" ht="15.75" customHeight="1">
      <c r="B353" s="4"/>
      <c r="C353" s="4"/>
      <c r="E353" s="4"/>
      <c r="F353" s="4"/>
      <c r="G353" s="5"/>
    </row>
    <row r="354" spans="2:7" ht="15.75" customHeight="1">
      <c r="B354" s="4"/>
      <c r="C354" s="4"/>
      <c r="E354" s="4"/>
      <c r="F354" s="4"/>
      <c r="G354" s="5"/>
    </row>
    <row r="355" spans="2:7" ht="15.75" customHeight="1">
      <c r="B355" s="4"/>
      <c r="C355" s="4"/>
      <c r="E355" s="4"/>
      <c r="F355" s="4"/>
      <c r="G355" s="5"/>
    </row>
    <row r="356" spans="2:7" ht="15.75" customHeight="1">
      <c r="B356" s="4"/>
      <c r="C356" s="4"/>
      <c r="E356" s="4"/>
      <c r="F356" s="4"/>
      <c r="G356" s="5"/>
    </row>
    <row r="357" spans="2:7" ht="15.75" customHeight="1">
      <c r="B357" s="4"/>
      <c r="C357" s="4"/>
      <c r="E357" s="4"/>
      <c r="F357" s="4"/>
      <c r="G357" s="5"/>
    </row>
    <row r="358" spans="2:7" ht="15.75" customHeight="1">
      <c r="B358" s="4"/>
      <c r="C358" s="4"/>
      <c r="E358" s="4"/>
      <c r="F358" s="4"/>
      <c r="G358" s="5"/>
    </row>
    <row r="359" spans="2:7" ht="15.75" customHeight="1">
      <c r="B359" s="4"/>
      <c r="C359" s="4"/>
      <c r="E359" s="4"/>
      <c r="F359" s="4"/>
      <c r="G359" s="5"/>
    </row>
    <row r="360" spans="2:7" ht="15.75" customHeight="1">
      <c r="B360" s="4"/>
      <c r="C360" s="4"/>
      <c r="E360" s="4"/>
      <c r="F360" s="4"/>
      <c r="G360" s="5"/>
    </row>
    <row r="361" spans="2:7" ht="15.75" customHeight="1">
      <c r="B361" s="4"/>
      <c r="C361" s="4"/>
      <c r="E361" s="4"/>
      <c r="F361" s="4"/>
      <c r="G361" s="5"/>
    </row>
    <row r="362" spans="2:7" ht="15.75" customHeight="1">
      <c r="B362" s="4"/>
      <c r="C362" s="4"/>
      <c r="E362" s="4"/>
      <c r="F362" s="4"/>
      <c r="G362" s="5"/>
    </row>
    <row r="363" spans="2:7" ht="15.75" customHeight="1">
      <c r="B363" s="4"/>
      <c r="C363" s="4"/>
      <c r="E363" s="4"/>
      <c r="F363" s="4"/>
      <c r="G363" s="5"/>
    </row>
    <row r="364" spans="2:7" ht="15.75" customHeight="1">
      <c r="B364" s="4"/>
      <c r="C364" s="4"/>
      <c r="E364" s="4"/>
      <c r="F364" s="4"/>
      <c r="G364" s="5"/>
    </row>
    <row r="365" spans="2:7" ht="15.75" customHeight="1">
      <c r="B365" s="4"/>
      <c r="C365" s="4"/>
      <c r="E365" s="4"/>
      <c r="F365" s="4"/>
      <c r="G365" s="5"/>
    </row>
    <row r="366" spans="2:7" ht="15.75" customHeight="1">
      <c r="B366" s="4"/>
      <c r="C366" s="4"/>
      <c r="E366" s="4"/>
      <c r="F366" s="4"/>
      <c r="G366" s="5"/>
    </row>
    <row r="367" spans="2:7" ht="15.75" customHeight="1">
      <c r="B367" s="4"/>
      <c r="C367" s="4"/>
      <c r="E367" s="4"/>
      <c r="F367" s="4"/>
      <c r="G367" s="5"/>
    </row>
    <row r="368" spans="2:7" ht="15.75" customHeight="1">
      <c r="B368" s="4"/>
      <c r="C368" s="4"/>
      <c r="E368" s="4"/>
      <c r="F368" s="4"/>
      <c r="G368" s="5"/>
    </row>
    <row r="369" spans="2:7" ht="15.75" customHeight="1">
      <c r="B369" s="4"/>
      <c r="C369" s="4"/>
      <c r="E369" s="4"/>
      <c r="F369" s="4"/>
      <c r="G369" s="5"/>
    </row>
    <row r="370" spans="2:7" ht="15.75" customHeight="1">
      <c r="B370" s="4"/>
      <c r="C370" s="4"/>
      <c r="E370" s="4"/>
      <c r="F370" s="4"/>
      <c r="G370" s="5"/>
    </row>
    <row r="371" spans="2:7" ht="15.75" customHeight="1">
      <c r="B371" s="4"/>
      <c r="C371" s="4"/>
      <c r="E371" s="4"/>
      <c r="F371" s="4"/>
      <c r="G371" s="5"/>
    </row>
    <row r="372" spans="2:7" ht="15.75" customHeight="1">
      <c r="B372" s="4"/>
      <c r="C372" s="4"/>
      <c r="E372" s="4"/>
      <c r="F372" s="4"/>
      <c r="G372" s="5"/>
    </row>
    <row r="373" spans="2:7" ht="15.75" customHeight="1">
      <c r="B373" s="4"/>
      <c r="C373" s="4"/>
      <c r="E373" s="4"/>
      <c r="F373" s="4"/>
      <c r="G373" s="5"/>
    </row>
    <row r="374" spans="2:7" ht="15.75" customHeight="1">
      <c r="B374" s="4"/>
      <c r="C374" s="4"/>
      <c r="E374" s="4"/>
      <c r="F374" s="4"/>
      <c r="G374" s="5"/>
    </row>
    <row r="375" spans="2:7" ht="15.75" customHeight="1">
      <c r="B375" s="4"/>
      <c r="C375" s="4"/>
      <c r="E375" s="4"/>
      <c r="F375" s="4"/>
      <c r="G375" s="5"/>
    </row>
    <row r="376" spans="2:7" ht="15.75" customHeight="1">
      <c r="B376" s="4"/>
      <c r="C376" s="4"/>
      <c r="E376" s="4"/>
      <c r="F376" s="4"/>
      <c r="G376" s="5"/>
    </row>
    <row r="377" spans="2:7" ht="15.75" customHeight="1">
      <c r="B377" s="4"/>
      <c r="C377" s="4"/>
      <c r="E377" s="4"/>
      <c r="F377" s="4"/>
      <c r="G377" s="5"/>
    </row>
    <row r="378" spans="2:7" ht="15.75" customHeight="1">
      <c r="B378" s="4"/>
      <c r="C378" s="4"/>
      <c r="E378" s="4"/>
      <c r="F378" s="4"/>
      <c r="G378" s="5"/>
    </row>
    <row r="379" spans="2:7" ht="15.75" customHeight="1">
      <c r="B379" s="4"/>
      <c r="C379" s="4"/>
      <c r="E379" s="4"/>
      <c r="F379" s="4"/>
      <c r="G379" s="5"/>
    </row>
    <row r="380" spans="2:7" ht="15.75" customHeight="1">
      <c r="B380" s="4"/>
      <c r="C380" s="4"/>
      <c r="E380" s="4"/>
      <c r="F380" s="4"/>
      <c r="G380" s="5"/>
    </row>
    <row r="381" spans="2:7" ht="15.75" customHeight="1">
      <c r="B381" s="4"/>
      <c r="C381" s="4"/>
      <c r="E381" s="4"/>
      <c r="F381" s="4"/>
      <c r="G381" s="5"/>
    </row>
    <row r="382" spans="2:7" ht="15.75" customHeight="1">
      <c r="B382" s="4"/>
      <c r="C382" s="4"/>
      <c r="E382" s="4"/>
      <c r="F382" s="4"/>
      <c r="G382" s="5"/>
    </row>
    <row r="383" spans="2:7" ht="15.75" customHeight="1">
      <c r="B383" s="4"/>
      <c r="C383" s="4"/>
      <c r="E383" s="4"/>
      <c r="F383" s="4"/>
      <c r="G383" s="5"/>
    </row>
    <row r="384" spans="2:7" ht="15.75" customHeight="1">
      <c r="B384" s="4"/>
      <c r="C384" s="4"/>
      <c r="E384" s="4"/>
      <c r="F384" s="4"/>
      <c r="G384" s="5"/>
    </row>
    <row r="385" spans="2:7" ht="15.75" customHeight="1">
      <c r="B385" s="4"/>
      <c r="C385" s="4"/>
      <c r="E385" s="4"/>
      <c r="F385" s="4"/>
      <c r="G385" s="5"/>
    </row>
    <row r="386" spans="2:7" ht="15.75" customHeight="1">
      <c r="B386" s="4"/>
      <c r="C386" s="4"/>
      <c r="E386" s="4"/>
      <c r="F386" s="4"/>
      <c r="G386" s="5"/>
    </row>
    <row r="387" spans="2:7" ht="15.75" customHeight="1">
      <c r="B387" s="4"/>
      <c r="C387" s="4"/>
      <c r="E387" s="4"/>
      <c r="F387" s="4"/>
      <c r="G387" s="5"/>
    </row>
    <row r="388" spans="2:7" ht="15.75" customHeight="1">
      <c r="B388" s="4"/>
      <c r="C388" s="4"/>
      <c r="E388" s="4"/>
      <c r="F388" s="4"/>
      <c r="G388" s="5"/>
    </row>
    <row r="389" spans="2:7" ht="15.75" customHeight="1">
      <c r="B389" s="4"/>
      <c r="C389" s="4"/>
      <c r="E389" s="4"/>
      <c r="F389" s="4"/>
      <c r="G389" s="5"/>
    </row>
    <row r="390" spans="2:7" ht="15.75" customHeight="1">
      <c r="B390" s="4"/>
      <c r="C390" s="4"/>
      <c r="E390" s="4"/>
      <c r="F390" s="4"/>
      <c r="G390" s="5"/>
    </row>
    <row r="391" spans="2:7" ht="15.75" customHeight="1">
      <c r="B391" s="4"/>
      <c r="C391" s="4"/>
      <c r="E391" s="4"/>
      <c r="F391" s="4"/>
      <c r="G391" s="5"/>
    </row>
    <row r="392" spans="2:7" ht="15.75" customHeight="1">
      <c r="B392" s="4"/>
      <c r="C392" s="4"/>
      <c r="E392" s="4"/>
      <c r="F392" s="4"/>
      <c r="G392" s="5"/>
    </row>
    <row r="393" spans="2:7" ht="15.75" customHeight="1">
      <c r="B393" s="4"/>
      <c r="C393" s="4"/>
      <c r="E393" s="4"/>
      <c r="F393" s="4"/>
      <c r="G393" s="5"/>
    </row>
    <row r="394" spans="2:7" ht="15.75" customHeight="1">
      <c r="B394" s="4"/>
      <c r="C394" s="4"/>
      <c r="E394" s="4"/>
      <c r="F394" s="4"/>
      <c r="G394" s="5"/>
    </row>
    <row r="395" spans="2:7" ht="15.75" customHeight="1">
      <c r="B395" s="4"/>
      <c r="C395" s="4"/>
      <c r="E395" s="4"/>
      <c r="F395" s="4"/>
      <c r="G395" s="5"/>
    </row>
    <row r="396" spans="2:7" ht="15.75" customHeight="1">
      <c r="B396" s="4"/>
      <c r="C396" s="4"/>
      <c r="E396" s="4"/>
      <c r="F396" s="4"/>
      <c r="G396" s="5"/>
    </row>
    <row r="397" spans="2:7" ht="15.75" customHeight="1">
      <c r="B397" s="4"/>
      <c r="C397" s="4"/>
      <c r="E397" s="4"/>
      <c r="F397" s="4"/>
      <c r="G397" s="5"/>
    </row>
    <row r="398" spans="2:7" ht="15.75" customHeight="1">
      <c r="B398" s="4"/>
      <c r="C398" s="4"/>
      <c r="E398" s="4"/>
      <c r="F398" s="4"/>
      <c r="G398" s="5"/>
    </row>
    <row r="399" spans="2:7" ht="15.75" customHeight="1">
      <c r="B399" s="4"/>
      <c r="C399" s="4"/>
      <c r="E399" s="4"/>
      <c r="F399" s="4"/>
      <c r="G399" s="5"/>
    </row>
    <row r="400" spans="2:7" ht="15.75" customHeight="1">
      <c r="B400" s="4"/>
      <c r="C400" s="4"/>
      <c r="E400" s="4"/>
      <c r="F400" s="4"/>
      <c r="G400" s="5"/>
    </row>
    <row r="401" spans="2:7" ht="15.75" customHeight="1">
      <c r="B401" s="4"/>
      <c r="C401" s="4"/>
      <c r="E401" s="4"/>
      <c r="F401" s="4"/>
      <c r="G401" s="5"/>
    </row>
    <row r="402" spans="2:7" ht="15.75" customHeight="1">
      <c r="B402" s="4"/>
      <c r="C402" s="4"/>
      <c r="E402" s="4"/>
      <c r="F402" s="4"/>
      <c r="G402" s="5"/>
    </row>
    <row r="403" spans="2:7" ht="15.75" customHeight="1">
      <c r="B403" s="4"/>
      <c r="C403" s="4"/>
      <c r="E403" s="4"/>
      <c r="F403" s="4"/>
      <c r="G403" s="5"/>
    </row>
    <row r="404" spans="2:7" ht="15.75" customHeight="1">
      <c r="B404" s="4"/>
      <c r="C404" s="4"/>
      <c r="E404" s="4"/>
      <c r="F404" s="4"/>
      <c r="G404" s="5"/>
    </row>
    <row r="405" spans="2:7" ht="15.75" customHeight="1">
      <c r="B405" s="4"/>
      <c r="C405" s="4"/>
      <c r="E405" s="4"/>
      <c r="F405" s="4"/>
      <c r="G405" s="5"/>
    </row>
    <row r="406" spans="2:7" ht="15.75" customHeight="1">
      <c r="B406" s="4"/>
      <c r="C406" s="4"/>
      <c r="E406" s="4"/>
      <c r="F406" s="4"/>
      <c r="G406" s="5"/>
    </row>
    <row r="407" spans="2:7" ht="15.75" customHeight="1">
      <c r="B407" s="4"/>
      <c r="C407" s="4"/>
      <c r="E407" s="4"/>
      <c r="F407" s="4"/>
      <c r="G407" s="5"/>
    </row>
    <row r="408" spans="2:7" ht="15.75" customHeight="1">
      <c r="B408" s="4"/>
      <c r="C408" s="4"/>
      <c r="E408" s="4"/>
      <c r="F408" s="4"/>
      <c r="G408" s="5"/>
    </row>
    <row r="409" spans="2:7" ht="15.75" customHeight="1">
      <c r="B409" s="4"/>
      <c r="C409" s="4"/>
      <c r="E409" s="4"/>
      <c r="F409" s="4"/>
      <c r="G409" s="5"/>
    </row>
    <row r="410" spans="2:7" ht="15.75" customHeight="1">
      <c r="B410" s="4"/>
      <c r="C410" s="4"/>
      <c r="E410" s="4"/>
      <c r="F410" s="4"/>
      <c r="G410" s="5"/>
    </row>
    <row r="411" spans="2:7" ht="15.75" customHeight="1">
      <c r="B411" s="4"/>
      <c r="C411" s="4"/>
      <c r="E411" s="4"/>
      <c r="F411" s="4"/>
      <c r="G411" s="5"/>
    </row>
    <row r="412" spans="2:7" ht="15.75" customHeight="1">
      <c r="B412" s="4"/>
      <c r="C412" s="4"/>
      <c r="E412" s="4"/>
      <c r="F412" s="4"/>
      <c r="G412" s="5"/>
    </row>
    <row r="413" spans="2:7" ht="15.75" customHeight="1">
      <c r="B413" s="4"/>
      <c r="C413" s="4"/>
      <c r="E413" s="4"/>
      <c r="F413" s="4"/>
      <c r="G413" s="5"/>
    </row>
    <row r="414" spans="2:7" ht="15.75" customHeight="1">
      <c r="B414" s="4"/>
      <c r="C414" s="4"/>
      <c r="E414" s="4"/>
      <c r="F414" s="4"/>
      <c r="G414" s="5"/>
    </row>
    <row r="415" spans="2:7" ht="15.75" customHeight="1">
      <c r="B415" s="4"/>
      <c r="C415" s="4"/>
      <c r="E415" s="4"/>
      <c r="F415" s="4"/>
      <c r="G415" s="5"/>
    </row>
    <row r="416" spans="2:7" ht="15.75" customHeight="1">
      <c r="B416" s="4"/>
      <c r="C416" s="4"/>
      <c r="E416" s="4"/>
      <c r="F416" s="4"/>
      <c r="G416" s="5"/>
    </row>
    <row r="417" spans="2:7" ht="15.75" customHeight="1">
      <c r="B417" s="4"/>
      <c r="C417" s="4"/>
      <c r="E417" s="4"/>
      <c r="F417" s="4"/>
      <c r="G417" s="5"/>
    </row>
    <row r="418" spans="2:7" ht="15.75" customHeight="1">
      <c r="B418" s="4"/>
      <c r="C418" s="4"/>
      <c r="E418" s="4"/>
      <c r="F418" s="4"/>
      <c r="G418" s="5"/>
    </row>
    <row r="419" spans="2:7" ht="15.75" customHeight="1">
      <c r="B419" s="4"/>
      <c r="C419" s="4"/>
      <c r="E419" s="4"/>
      <c r="F419" s="4"/>
      <c r="G419" s="5"/>
    </row>
    <row r="420" spans="2:7" ht="15.75" customHeight="1">
      <c r="B420" s="4"/>
      <c r="C420" s="4"/>
      <c r="E420" s="4"/>
      <c r="F420" s="4"/>
      <c r="G420" s="5"/>
    </row>
    <row r="421" spans="2:7" ht="15.75" customHeight="1">
      <c r="B421" s="4"/>
      <c r="C421" s="4"/>
      <c r="E421" s="4"/>
      <c r="F421" s="4"/>
      <c r="G421" s="5"/>
    </row>
    <row r="422" spans="2:7" ht="15.75" customHeight="1">
      <c r="B422" s="4"/>
      <c r="C422" s="4"/>
      <c r="E422" s="4"/>
      <c r="F422" s="4"/>
      <c r="G422" s="5"/>
    </row>
    <row r="423" spans="2:7" ht="15.75" customHeight="1">
      <c r="B423" s="4"/>
      <c r="C423" s="4"/>
      <c r="E423" s="4"/>
      <c r="F423" s="4"/>
      <c r="G423" s="5"/>
    </row>
    <row r="424" spans="2:7" ht="15.75" customHeight="1">
      <c r="B424" s="4"/>
      <c r="C424" s="4"/>
      <c r="E424" s="4"/>
      <c r="F424" s="4"/>
      <c r="G424" s="5"/>
    </row>
    <row r="425" spans="2:7" ht="15.75" customHeight="1">
      <c r="B425" s="4"/>
      <c r="C425" s="4"/>
      <c r="E425" s="4"/>
      <c r="F425" s="4"/>
      <c r="G425" s="5"/>
    </row>
    <row r="426" spans="2:7" ht="15.75" customHeight="1">
      <c r="B426" s="4"/>
      <c r="C426" s="4"/>
      <c r="E426" s="4"/>
      <c r="F426" s="4"/>
      <c r="G426" s="5"/>
    </row>
    <row r="427" spans="2:7" ht="15.75" customHeight="1">
      <c r="B427" s="4"/>
      <c r="C427" s="4"/>
      <c r="E427" s="4"/>
      <c r="F427" s="4"/>
      <c r="G427" s="5"/>
    </row>
    <row r="428" spans="2:7" ht="15.75" customHeight="1">
      <c r="B428" s="4"/>
      <c r="C428" s="4"/>
      <c r="E428" s="4"/>
      <c r="F428" s="4"/>
      <c r="G428" s="5"/>
    </row>
    <row r="429" spans="2:7" ht="15.75" customHeight="1">
      <c r="B429" s="4"/>
      <c r="C429" s="4"/>
      <c r="E429" s="4"/>
      <c r="F429" s="4"/>
      <c r="G429" s="5"/>
    </row>
    <row r="430" spans="2:7" ht="15.75" customHeight="1">
      <c r="B430" s="4"/>
      <c r="C430" s="4"/>
      <c r="E430" s="4"/>
      <c r="F430" s="4"/>
      <c r="G430" s="5"/>
    </row>
    <row r="431" spans="2:7" ht="15.75" customHeight="1">
      <c r="B431" s="4"/>
      <c r="C431" s="4"/>
      <c r="E431" s="4"/>
      <c r="F431" s="4"/>
      <c r="G431" s="5"/>
    </row>
    <row r="432" spans="2:7" ht="15.75" customHeight="1">
      <c r="B432" s="4"/>
      <c r="C432" s="4"/>
      <c r="E432" s="4"/>
      <c r="F432" s="4"/>
      <c r="G432" s="5"/>
    </row>
    <row r="433" spans="2:7" ht="15.75" customHeight="1">
      <c r="B433" s="4"/>
      <c r="C433" s="4"/>
      <c r="E433" s="4"/>
      <c r="F433" s="4"/>
      <c r="G433" s="5"/>
    </row>
    <row r="434" spans="2:7" ht="15.75" customHeight="1">
      <c r="B434" s="4"/>
      <c r="C434" s="4"/>
      <c r="E434" s="4"/>
      <c r="F434" s="4"/>
      <c r="G434" s="5"/>
    </row>
    <row r="435" spans="2:7" ht="15.75" customHeight="1">
      <c r="B435" s="4"/>
      <c r="C435" s="4"/>
      <c r="E435" s="4"/>
      <c r="F435" s="4"/>
      <c r="G435" s="5"/>
    </row>
    <row r="436" spans="2:7" ht="15.75" customHeight="1">
      <c r="B436" s="4"/>
      <c r="C436" s="4"/>
      <c r="E436" s="4"/>
      <c r="F436" s="4"/>
      <c r="G436" s="5"/>
    </row>
    <row r="437" spans="2:7" ht="15.75" customHeight="1">
      <c r="B437" s="4"/>
      <c r="C437" s="4"/>
      <c r="E437" s="4"/>
      <c r="F437" s="4"/>
      <c r="G437" s="5"/>
    </row>
    <row r="438" spans="2:7" ht="15.75" customHeight="1">
      <c r="B438" s="4"/>
      <c r="C438" s="4"/>
      <c r="E438" s="4"/>
      <c r="F438" s="4"/>
      <c r="G438" s="5"/>
    </row>
    <row r="439" spans="2:7" ht="15.75" customHeight="1">
      <c r="B439" s="4"/>
      <c r="C439" s="4"/>
      <c r="E439" s="4"/>
      <c r="F439" s="4"/>
      <c r="G439" s="5"/>
    </row>
    <row r="440" spans="2:7" ht="15.75" customHeight="1">
      <c r="B440" s="4"/>
      <c r="C440" s="4"/>
      <c r="E440" s="4"/>
      <c r="F440" s="4"/>
      <c r="G440" s="5"/>
    </row>
    <row r="441" spans="2:7" ht="15.75" customHeight="1">
      <c r="B441" s="4"/>
      <c r="C441" s="4"/>
      <c r="E441" s="4"/>
      <c r="F441" s="4"/>
      <c r="G441" s="5"/>
    </row>
    <row r="442" spans="2:7" ht="15.75" customHeight="1">
      <c r="B442" s="4"/>
      <c r="C442" s="4"/>
      <c r="E442" s="4"/>
      <c r="F442" s="4"/>
      <c r="G442" s="5"/>
    </row>
    <row r="443" spans="2:7" ht="15.75" customHeight="1">
      <c r="B443" s="4"/>
      <c r="C443" s="4"/>
      <c r="E443" s="4"/>
      <c r="F443" s="4"/>
      <c r="G443" s="5"/>
    </row>
    <row r="444" spans="2:7" ht="15.75" customHeight="1">
      <c r="B444" s="4"/>
      <c r="C444" s="4"/>
      <c r="E444" s="4"/>
      <c r="F444" s="4"/>
      <c r="G444" s="5"/>
    </row>
    <row r="445" spans="2:7" ht="15.75" customHeight="1">
      <c r="B445" s="4"/>
      <c r="C445" s="4"/>
      <c r="E445" s="4"/>
      <c r="F445" s="4"/>
      <c r="G445" s="5"/>
    </row>
    <row r="446" spans="2:7" ht="15.75" customHeight="1">
      <c r="B446" s="4"/>
      <c r="C446" s="4"/>
      <c r="E446" s="4"/>
      <c r="F446" s="4"/>
      <c r="G446" s="5"/>
    </row>
    <row r="447" spans="2:7" ht="15.75" customHeight="1">
      <c r="B447" s="4"/>
      <c r="C447" s="4"/>
      <c r="E447" s="4"/>
      <c r="F447" s="4"/>
      <c r="G447" s="5"/>
    </row>
    <row r="448" spans="2:7" ht="15.75" customHeight="1">
      <c r="B448" s="4"/>
      <c r="C448" s="4"/>
      <c r="E448" s="4"/>
      <c r="F448" s="4"/>
      <c r="G448" s="5"/>
    </row>
    <row r="449" spans="2:7" ht="15.75" customHeight="1">
      <c r="B449" s="4"/>
      <c r="C449" s="4"/>
      <c r="E449" s="4"/>
      <c r="F449" s="4"/>
      <c r="G449" s="5"/>
    </row>
    <row r="450" spans="2:7" ht="15.75" customHeight="1">
      <c r="B450" s="4"/>
      <c r="C450" s="4"/>
      <c r="E450" s="4"/>
      <c r="F450" s="4"/>
      <c r="G450" s="5"/>
    </row>
    <row r="451" spans="2:7" ht="15.75" customHeight="1">
      <c r="B451" s="4"/>
      <c r="C451" s="4"/>
      <c r="E451" s="4"/>
      <c r="F451" s="4"/>
      <c r="G451" s="5"/>
    </row>
    <row r="452" spans="2:7" ht="15.75" customHeight="1">
      <c r="B452" s="4"/>
      <c r="C452" s="4"/>
      <c r="E452" s="4"/>
      <c r="F452" s="4"/>
      <c r="G452" s="5"/>
    </row>
    <row r="453" spans="2:7" ht="15.75" customHeight="1">
      <c r="B453" s="4"/>
      <c r="C453" s="4"/>
      <c r="E453" s="4"/>
      <c r="F453" s="4"/>
      <c r="G453" s="5"/>
    </row>
    <row r="454" spans="2:7" ht="15.75" customHeight="1">
      <c r="B454" s="4"/>
      <c r="C454" s="4"/>
      <c r="E454" s="4"/>
      <c r="F454" s="4"/>
      <c r="G454" s="5"/>
    </row>
    <row r="455" spans="2:7" ht="15.75" customHeight="1">
      <c r="B455" s="4"/>
      <c r="C455" s="4"/>
      <c r="E455" s="4"/>
      <c r="F455" s="4"/>
      <c r="G455" s="5"/>
    </row>
    <row r="456" spans="2:7" ht="15.75" customHeight="1">
      <c r="B456" s="4"/>
      <c r="C456" s="4"/>
      <c r="E456" s="4"/>
      <c r="F456" s="4"/>
      <c r="G456" s="5"/>
    </row>
    <row r="457" spans="2:7" ht="15.75" customHeight="1">
      <c r="B457" s="4"/>
      <c r="C457" s="4"/>
      <c r="E457" s="4"/>
      <c r="F457" s="4"/>
      <c r="G457" s="5"/>
    </row>
    <row r="458" spans="2:7" ht="15.75" customHeight="1">
      <c r="B458" s="4"/>
      <c r="C458" s="4"/>
      <c r="E458" s="4"/>
      <c r="F458" s="4"/>
      <c r="G458" s="5"/>
    </row>
    <row r="459" spans="2:7" ht="15.75" customHeight="1">
      <c r="B459" s="4"/>
      <c r="C459" s="4"/>
      <c r="E459" s="4"/>
      <c r="F459" s="4"/>
      <c r="G459" s="5"/>
    </row>
    <row r="460" spans="2:7" ht="15.75" customHeight="1">
      <c r="B460" s="4"/>
      <c r="C460" s="4"/>
      <c r="E460" s="4"/>
      <c r="F460" s="4"/>
      <c r="G460" s="5"/>
    </row>
    <row r="461" spans="2:7" ht="15.75" customHeight="1">
      <c r="B461" s="4"/>
      <c r="C461" s="4"/>
      <c r="E461" s="4"/>
      <c r="F461" s="4"/>
      <c r="G461" s="5"/>
    </row>
    <row r="462" spans="2:7" ht="15.75" customHeight="1">
      <c r="B462" s="4"/>
      <c r="C462" s="4"/>
      <c r="E462" s="4"/>
      <c r="F462" s="4"/>
      <c r="G462" s="5"/>
    </row>
    <row r="463" spans="2:7" ht="15.75" customHeight="1">
      <c r="B463" s="4"/>
      <c r="C463" s="4"/>
      <c r="E463" s="4"/>
      <c r="F463" s="4"/>
      <c r="G463" s="5"/>
    </row>
    <row r="464" spans="2:7" ht="15.75" customHeight="1">
      <c r="B464" s="4"/>
      <c r="C464" s="4"/>
      <c r="E464" s="4"/>
      <c r="F464" s="4"/>
      <c r="G464" s="5"/>
    </row>
    <row r="465" spans="2:7" ht="15.75" customHeight="1">
      <c r="B465" s="4"/>
      <c r="C465" s="4"/>
      <c r="E465" s="4"/>
      <c r="F465" s="4"/>
      <c r="G465" s="5"/>
    </row>
    <row r="466" spans="2:7" ht="15.75" customHeight="1">
      <c r="B466" s="4"/>
      <c r="C466" s="4"/>
      <c r="E466" s="4"/>
      <c r="F466" s="4"/>
      <c r="G466" s="5"/>
    </row>
    <row r="467" spans="2:7" ht="15.75" customHeight="1">
      <c r="B467" s="4"/>
      <c r="C467" s="4"/>
      <c r="E467" s="4"/>
      <c r="F467" s="4"/>
      <c r="G467" s="5"/>
    </row>
    <row r="468" spans="2:7" ht="15.75" customHeight="1">
      <c r="B468" s="4"/>
      <c r="C468" s="4"/>
      <c r="E468" s="4"/>
      <c r="F468" s="4"/>
      <c r="G468" s="5"/>
    </row>
    <row r="469" spans="2:7" ht="15.75" customHeight="1">
      <c r="B469" s="4"/>
      <c r="C469" s="4"/>
      <c r="E469" s="4"/>
      <c r="F469" s="4"/>
      <c r="G469" s="5"/>
    </row>
    <row r="470" spans="2:7" ht="15.75" customHeight="1">
      <c r="B470" s="4"/>
      <c r="C470" s="4"/>
      <c r="E470" s="4"/>
      <c r="F470" s="4"/>
      <c r="G470" s="5"/>
    </row>
    <row r="471" spans="2:7" ht="15.75" customHeight="1">
      <c r="B471" s="4"/>
      <c r="C471" s="4"/>
      <c r="E471" s="4"/>
      <c r="F471" s="4"/>
      <c r="G471" s="5"/>
    </row>
    <row r="472" spans="2:7" ht="15.75" customHeight="1">
      <c r="B472" s="4"/>
      <c r="C472" s="4"/>
      <c r="E472" s="4"/>
      <c r="F472" s="4"/>
      <c r="G472" s="5"/>
    </row>
    <row r="473" spans="2:7" ht="15.75" customHeight="1">
      <c r="B473" s="4"/>
      <c r="C473" s="4"/>
      <c r="E473" s="4"/>
      <c r="F473" s="4"/>
      <c r="G473" s="5"/>
    </row>
    <row r="474" spans="2:7" ht="15.75" customHeight="1">
      <c r="B474" s="4"/>
      <c r="C474" s="4"/>
      <c r="E474" s="4"/>
      <c r="F474" s="4"/>
      <c r="G474" s="5"/>
    </row>
    <row r="475" spans="2:7" ht="15.75" customHeight="1">
      <c r="B475" s="4"/>
      <c r="C475" s="4"/>
      <c r="E475" s="4"/>
      <c r="F475" s="4"/>
      <c r="G475" s="5"/>
    </row>
    <row r="476" spans="2:7" ht="15.75" customHeight="1">
      <c r="B476" s="4"/>
      <c r="C476" s="4"/>
      <c r="E476" s="4"/>
      <c r="F476" s="4"/>
      <c r="G476" s="5"/>
    </row>
    <row r="477" spans="2:7" ht="15.75" customHeight="1">
      <c r="B477" s="4"/>
      <c r="C477" s="4"/>
      <c r="E477" s="4"/>
      <c r="F477" s="4"/>
      <c r="G477" s="5"/>
    </row>
    <row r="478" spans="2:7" ht="15.75" customHeight="1">
      <c r="B478" s="4"/>
      <c r="C478" s="4"/>
      <c r="E478" s="4"/>
      <c r="F478" s="4"/>
      <c r="G478" s="5"/>
    </row>
    <row r="479" spans="2:7" ht="15.75" customHeight="1">
      <c r="B479" s="4"/>
      <c r="C479" s="4"/>
      <c r="E479" s="4"/>
      <c r="F479" s="4"/>
      <c r="G479" s="5"/>
    </row>
    <row r="480" spans="2:7" ht="15.75" customHeight="1">
      <c r="B480" s="4"/>
      <c r="C480" s="4"/>
      <c r="E480" s="4"/>
      <c r="F480" s="4"/>
      <c r="G480" s="5"/>
    </row>
    <row r="481" spans="2:7" ht="15.75" customHeight="1">
      <c r="B481" s="4"/>
      <c r="C481" s="4"/>
      <c r="E481" s="4"/>
      <c r="F481" s="4"/>
      <c r="G481" s="5"/>
    </row>
    <row r="482" spans="2:7" ht="15.75" customHeight="1">
      <c r="B482" s="4"/>
      <c r="C482" s="4"/>
      <c r="E482" s="4"/>
      <c r="F482" s="4"/>
      <c r="G482" s="5"/>
    </row>
    <row r="483" spans="2:7" ht="15.75" customHeight="1">
      <c r="B483" s="4"/>
      <c r="C483" s="4"/>
      <c r="E483" s="4"/>
      <c r="F483" s="4"/>
      <c r="G483" s="5"/>
    </row>
    <row r="484" spans="2:7" ht="15.75" customHeight="1">
      <c r="B484" s="4"/>
      <c r="C484" s="4"/>
      <c r="E484" s="4"/>
      <c r="F484" s="4"/>
      <c r="G484" s="5"/>
    </row>
    <row r="485" spans="2:7" ht="15.75" customHeight="1">
      <c r="B485" s="4"/>
      <c r="C485" s="4"/>
      <c r="E485" s="4"/>
      <c r="F485" s="4"/>
      <c r="G485" s="5"/>
    </row>
    <row r="486" spans="2:7" ht="15.75" customHeight="1">
      <c r="B486" s="4"/>
      <c r="C486" s="4"/>
      <c r="E486" s="4"/>
      <c r="F486" s="4"/>
      <c r="G486" s="5"/>
    </row>
    <row r="487" spans="2:7" ht="15.75" customHeight="1">
      <c r="B487" s="4"/>
      <c r="C487" s="4"/>
      <c r="E487" s="4"/>
      <c r="F487" s="4"/>
      <c r="G487" s="5"/>
    </row>
    <row r="488" spans="2:7" ht="15.75" customHeight="1">
      <c r="B488" s="4"/>
      <c r="C488" s="4"/>
      <c r="E488" s="4"/>
      <c r="F488" s="4"/>
      <c r="G488" s="5"/>
    </row>
    <row r="489" spans="2:7" ht="15.75" customHeight="1">
      <c r="B489" s="4"/>
      <c r="C489" s="4"/>
      <c r="E489" s="4"/>
      <c r="F489" s="4"/>
      <c r="G489" s="5"/>
    </row>
    <row r="490" spans="2:7" ht="15.75" customHeight="1">
      <c r="B490" s="4"/>
      <c r="C490" s="4"/>
      <c r="E490" s="4"/>
      <c r="F490" s="4"/>
      <c r="G490" s="5"/>
    </row>
    <row r="491" spans="2:7" ht="15.75" customHeight="1">
      <c r="B491" s="4"/>
      <c r="C491" s="4"/>
      <c r="E491" s="4"/>
      <c r="F491" s="4"/>
      <c r="G491" s="5"/>
    </row>
    <row r="492" spans="2:7" ht="15.75" customHeight="1">
      <c r="B492" s="4"/>
      <c r="C492" s="4"/>
      <c r="E492" s="4"/>
      <c r="F492" s="4"/>
      <c r="G492" s="5"/>
    </row>
    <row r="493" spans="2:7" ht="15.75" customHeight="1">
      <c r="B493" s="4"/>
      <c r="C493" s="4"/>
      <c r="E493" s="4"/>
      <c r="F493" s="4"/>
      <c r="G493" s="5"/>
    </row>
    <row r="494" spans="2:7" ht="15.75" customHeight="1">
      <c r="B494" s="4"/>
      <c r="C494" s="4"/>
      <c r="E494" s="4"/>
      <c r="F494" s="4"/>
      <c r="G494" s="5"/>
    </row>
    <row r="495" spans="2:7" ht="15.75" customHeight="1">
      <c r="B495" s="4"/>
      <c r="C495" s="4"/>
      <c r="E495" s="4"/>
      <c r="F495" s="4"/>
      <c r="G495" s="5"/>
    </row>
    <row r="496" spans="2:7" ht="15.75" customHeight="1">
      <c r="B496" s="4"/>
      <c r="C496" s="4"/>
      <c r="E496" s="4"/>
      <c r="F496" s="4"/>
      <c r="G496" s="5"/>
    </row>
    <row r="497" spans="2:7" ht="15.75" customHeight="1">
      <c r="B497" s="4"/>
      <c r="C497" s="4"/>
      <c r="E497" s="4"/>
      <c r="F497" s="4"/>
      <c r="G497" s="5"/>
    </row>
    <row r="498" spans="2:7" ht="15.75" customHeight="1">
      <c r="B498" s="4"/>
      <c r="C498" s="4"/>
      <c r="E498" s="4"/>
      <c r="F498" s="4"/>
      <c r="G498" s="5"/>
    </row>
    <row r="499" spans="2:7" ht="15.75" customHeight="1">
      <c r="B499" s="4"/>
      <c r="C499" s="4"/>
      <c r="E499" s="4"/>
      <c r="F499" s="4"/>
      <c r="G499" s="5"/>
    </row>
    <row r="500" spans="2:7" ht="15.75" customHeight="1">
      <c r="B500" s="4"/>
      <c r="C500" s="4"/>
      <c r="E500" s="4"/>
      <c r="F500" s="4"/>
      <c r="G500" s="5"/>
    </row>
    <row r="501" spans="2:7" ht="15.75" customHeight="1">
      <c r="B501" s="4"/>
      <c r="C501" s="4"/>
      <c r="E501" s="4"/>
      <c r="F501" s="4"/>
      <c r="G501" s="5"/>
    </row>
    <row r="502" spans="2:7" ht="15.75" customHeight="1">
      <c r="B502" s="4"/>
      <c r="C502" s="4"/>
      <c r="E502" s="4"/>
      <c r="F502" s="4"/>
      <c r="G502" s="5"/>
    </row>
    <row r="503" spans="2:7" ht="15.75" customHeight="1">
      <c r="B503" s="4"/>
      <c r="C503" s="4"/>
      <c r="E503" s="4"/>
      <c r="F503" s="4"/>
      <c r="G503" s="5"/>
    </row>
    <row r="504" spans="2:7" ht="15.75" customHeight="1">
      <c r="B504" s="4"/>
      <c r="C504" s="4"/>
      <c r="E504" s="4"/>
      <c r="F504" s="4"/>
      <c r="G504" s="5"/>
    </row>
    <row r="505" spans="2:7" ht="15.75" customHeight="1">
      <c r="B505" s="4"/>
      <c r="C505" s="4"/>
      <c r="E505" s="4"/>
      <c r="F505" s="4"/>
      <c r="G505" s="5"/>
    </row>
    <row r="506" spans="2:7" ht="15.75" customHeight="1">
      <c r="B506" s="4"/>
      <c r="C506" s="4"/>
      <c r="E506" s="4"/>
      <c r="F506" s="4"/>
      <c r="G506" s="5"/>
    </row>
    <row r="507" spans="2:7" ht="15.75" customHeight="1">
      <c r="B507" s="4"/>
      <c r="C507" s="4"/>
      <c r="E507" s="4"/>
      <c r="F507" s="4"/>
      <c r="G507" s="5"/>
    </row>
    <row r="508" spans="2:7" ht="15.75" customHeight="1">
      <c r="B508" s="4"/>
      <c r="C508" s="4"/>
      <c r="E508" s="4"/>
      <c r="F508" s="4"/>
      <c r="G508" s="5"/>
    </row>
    <row r="509" spans="2:7" ht="15.75" customHeight="1">
      <c r="B509" s="4"/>
      <c r="C509" s="4"/>
      <c r="E509" s="4"/>
      <c r="F509" s="4"/>
      <c r="G509" s="5"/>
    </row>
    <row r="510" spans="2:7" ht="15.75" customHeight="1">
      <c r="B510" s="4"/>
      <c r="C510" s="4"/>
      <c r="E510" s="4"/>
      <c r="F510" s="4"/>
      <c r="G510" s="5"/>
    </row>
    <row r="511" spans="2:7" ht="15.75" customHeight="1">
      <c r="B511" s="4"/>
      <c r="C511" s="4"/>
      <c r="E511" s="4"/>
      <c r="F511" s="4"/>
      <c r="G511" s="5"/>
    </row>
    <row r="512" spans="2:7" ht="15.75" customHeight="1">
      <c r="B512" s="4"/>
      <c r="C512" s="4"/>
      <c r="E512" s="4"/>
      <c r="F512" s="4"/>
      <c r="G512" s="5"/>
    </row>
    <row r="513" spans="2:7" ht="15.75" customHeight="1">
      <c r="B513" s="4"/>
      <c r="C513" s="4"/>
      <c r="E513" s="4"/>
      <c r="F513" s="4"/>
      <c r="G513" s="5"/>
    </row>
    <row r="514" spans="2:7" ht="15.75" customHeight="1">
      <c r="B514" s="4"/>
      <c r="C514" s="4"/>
      <c r="E514" s="4"/>
      <c r="F514" s="4"/>
      <c r="G514" s="5"/>
    </row>
    <row r="515" spans="2:7" ht="15.75" customHeight="1">
      <c r="B515" s="4"/>
      <c r="C515" s="4"/>
      <c r="E515" s="4"/>
      <c r="F515" s="4"/>
      <c r="G515" s="5"/>
    </row>
    <row r="516" spans="2:7" ht="15.75" customHeight="1">
      <c r="B516" s="4"/>
      <c r="C516" s="4"/>
      <c r="E516" s="4"/>
      <c r="F516" s="4"/>
      <c r="G516" s="5"/>
    </row>
    <row r="517" spans="2:7" ht="15.75" customHeight="1">
      <c r="B517" s="4"/>
      <c r="C517" s="4"/>
      <c r="E517" s="4"/>
      <c r="F517" s="4"/>
      <c r="G517" s="5"/>
    </row>
    <row r="518" spans="2:7" ht="15.75" customHeight="1">
      <c r="B518" s="4"/>
      <c r="C518" s="4"/>
      <c r="E518" s="4"/>
      <c r="F518" s="4"/>
      <c r="G518" s="5"/>
    </row>
    <row r="519" spans="2:7" ht="15.75" customHeight="1">
      <c r="B519" s="4"/>
      <c r="C519" s="4"/>
      <c r="E519" s="4"/>
      <c r="F519" s="4"/>
      <c r="G519" s="5"/>
    </row>
    <row r="520" spans="2:7" ht="15.75" customHeight="1">
      <c r="B520" s="4"/>
      <c r="C520" s="4"/>
      <c r="E520" s="4"/>
      <c r="F520" s="4"/>
      <c r="G520" s="5"/>
    </row>
    <row r="521" spans="2:7" ht="15.75" customHeight="1">
      <c r="B521" s="4"/>
      <c r="C521" s="4"/>
      <c r="E521" s="4"/>
      <c r="F521" s="4"/>
      <c r="G521" s="5"/>
    </row>
    <row r="522" spans="2:7" ht="15.75" customHeight="1">
      <c r="B522" s="4"/>
      <c r="C522" s="4"/>
      <c r="E522" s="4"/>
      <c r="F522" s="4"/>
      <c r="G522" s="5"/>
    </row>
    <row r="523" spans="2:7" ht="15.75" customHeight="1">
      <c r="B523" s="4"/>
      <c r="C523" s="4"/>
      <c r="E523" s="4"/>
      <c r="F523" s="4"/>
      <c r="G523" s="5"/>
    </row>
    <row r="524" spans="2:7" ht="15.75" customHeight="1">
      <c r="B524" s="4"/>
      <c r="C524" s="4"/>
      <c r="E524" s="4"/>
      <c r="F524" s="4"/>
      <c r="G524" s="5"/>
    </row>
    <row r="525" spans="2:7" ht="15.75" customHeight="1">
      <c r="B525" s="4"/>
      <c r="C525" s="4"/>
      <c r="E525" s="4"/>
      <c r="F525" s="4"/>
      <c r="G525" s="5"/>
    </row>
    <row r="526" spans="2:7" ht="15.75" customHeight="1">
      <c r="B526" s="4"/>
      <c r="C526" s="4"/>
      <c r="E526" s="4"/>
      <c r="F526" s="4"/>
      <c r="G526" s="5"/>
    </row>
    <row r="527" spans="2:7" ht="15.75" customHeight="1">
      <c r="B527" s="4"/>
      <c r="C527" s="4"/>
      <c r="E527" s="4"/>
      <c r="F527" s="4"/>
      <c r="G527" s="5"/>
    </row>
    <row r="528" spans="2:7" ht="15.75" customHeight="1">
      <c r="B528" s="4"/>
      <c r="C528" s="4"/>
      <c r="E528" s="4"/>
      <c r="F528" s="4"/>
      <c r="G528" s="5"/>
    </row>
    <row r="529" spans="2:7" ht="15.75" customHeight="1">
      <c r="B529" s="4"/>
      <c r="C529" s="4"/>
      <c r="E529" s="4"/>
      <c r="F529" s="4"/>
      <c r="G529" s="5"/>
    </row>
    <row r="530" spans="2:7" ht="15.75" customHeight="1">
      <c r="B530" s="4"/>
      <c r="C530" s="4"/>
      <c r="E530" s="4"/>
      <c r="F530" s="4"/>
      <c r="G530" s="5"/>
    </row>
    <row r="531" spans="2:7" ht="15.75" customHeight="1">
      <c r="B531" s="4"/>
      <c r="C531" s="4"/>
      <c r="E531" s="4"/>
      <c r="F531" s="4"/>
      <c r="G531" s="5"/>
    </row>
    <row r="532" spans="2:7" ht="15.75" customHeight="1">
      <c r="B532" s="4"/>
      <c r="C532" s="4"/>
      <c r="E532" s="4"/>
      <c r="F532" s="4"/>
      <c r="G532" s="5"/>
    </row>
    <row r="533" spans="2:7" ht="15.75" customHeight="1">
      <c r="B533" s="4"/>
      <c r="C533" s="4"/>
      <c r="E533" s="4"/>
      <c r="F533" s="4"/>
      <c r="G533" s="5"/>
    </row>
    <row r="534" spans="2:7" ht="15.75" customHeight="1">
      <c r="B534" s="4"/>
      <c r="C534" s="4"/>
      <c r="E534" s="4"/>
      <c r="F534" s="4"/>
      <c r="G534" s="5"/>
    </row>
    <row r="535" spans="2:7" ht="15.75" customHeight="1">
      <c r="B535" s="4"/>
      <c r="C535" s="4"/>
      <c r="E535" s="4"/>
      <c r="F535" s="4"/>
      <c r="G535" s="5"/>
    </row>
    <row r="536" spans="2:7" ht="15.75" customHeight="1">
      <c r="B536" s="4"/>
      <c r="C536" s="4"/>
      <c r="E536" s="4"/>
      <c r="F536" s="4"/>
      <c r="G536" s="5"/>
    </row>
    <row r="537" spans="2:7" ht="15.75" customHeight="1">
      <c r="B537" s="4"/>
      <c r="C537" s="4"/>
      <c r="E537" s="4"/>
      <c r="F537" s="4"/>
      <c r="G537" s="5"/>
    </row>
    <row r="538" spans="2:7" ht="15.75" customHeight="1">
      <c r="B538" s="4"/>
      <c r="C538" s="4"/>
      <c r="E538" s="4"/>
      <c r="F538" s="4"/>
      <c r="G538" s="5"/>
    </row>
    <row r="539" spans="2:7" ht="15.75" customHeight="1">
      <c r="B539" s="4"/>
      <c r="C539" s="4"/>
      <c r="E539" s="4"/>
      <c r="F539" s="4"/>
      <c r="G539" s="5"/>
    </row>
    <row r="540" spans="2:7" ht="15.75" customHeight="1">
      <c r="B540" s="4"/>
      <c r="C540" s="4"/>
      <c r="E540" s="4"/>
      <c r="F540" s="4"/>
      <c r="G540" s="5"/>
    </row>
    <row r="541" spans="2:7" ht="15.75" customHeight="1">
      <c r="B541" s="4"/>
      <c r="C541" s="4"/>
      <c r="E541" s="4"/>
      <c r="F541" s="4"/>
      <c r="G541" s="5"/>
    </row>
    <row r="542" spans="2:7" ht="15.75" customHeight="1">
      <c r="B542" s="4"/>
      <c r="C542" s="4"/>
      <c r="E542" s="4"/>
      <c r="F542" s="4"/>
      <c r="G542" s="5"/>
    </row>
    <row r="543" spans="2:7" ht="15.75" customHeight="1">
      <c r="B543" s="4"/>
      <c r="C543" s="4"/>
      <c r="E543" s="4"/>
      <c r="F543" s="4"/>
      <c r="G543" s="5"/>
    </row>
    <row r="544" spans="2:7" ht="15.75" customHeight="1">
      <c r="B544" s="4"/>
      <c r="C544" s="4"/>
      <c r="E544" s="4"/>
      <c r="F544" s="4"/>
      <c r="G544" s="5"/>
    </row>
    <row r="545" spans="2:7" ht="15.75" customHeight="1">
      <c r="B545" s="4"/>
      <c r="C545" s="4"/>
      <c r="E545" s="4"/>
      <c r="F545" s="4"/>
      <c r="G545" s="5"/>
    </row>
    <row r="546" spans="2:7" ht="15.75" customHeight="1">
      <c r="B546" s="4"/>
      <c r="C546" s="4"/>
      <c r="E546" s="4"/>
      <c r="F546" s="4"/>
      <c r="G546" s="5"/>
    </row>
    <row r="547" spans="2:7" ht="15.75" customHeight="1">
      <c r="B547" s="4"/>
      <c r="C547" s="4"/>
      <c r="E547" s="4"/>
      <c r="F547" s="4"/>
      <c r="G547" s="5"/>
    </row>
    <row r="548" spans="2:7" ht="15.75" customHeight="1">
      <c r="B548" s="4"/>
      <c r="C548" s="4"/>
      <c r="E548" s="4"/>
      <c r="F548" s="4"/>
      <c r="G548" s="5"/>
    </row>
    <row r="549" spans="2:7" ht="15.75" customHeight="1">
      <c r="B549" s="4"/>
      <c r="C549" s="4"/>
      <c r="E549" s="4"/>
      <c r="F549" s="4"/>
      <c r="G549" s="5"/>
    </row>
    <row r="550" spans="2:7" ht="15.75" customHeight="1">
      <c r="B550" s="4"/>
      <c r="C550" s="4"/>
      <c r="E550" s="4"/>
      <c r="F550" s="4"/>
      <c r="G550" s="5"/>
    </row>
    <row r="551" spans="2:7" ht="15.75" customHeight="1">
      <c r="B551" s="4"/>
      <c r="C551" s="4"/>
      <c r="E551" s="4"/>
      <c r="F551" s="4"/>
      <c r="G551" s="5"/>
    </row>
    <row r="552" spans="2:7" ht="15.75" customHeight="1">
      <c r="B552" s="4"/>
      <c r="C552" s="4"/>
      <c r="E552" s="4"/>
      <c r="F552" s="4"/>
      <c r="G552" s="5"/>
    </row>
    <row r="553" spans="2:7" ht="15.75" customHeight="1">
      <c r="B553" s="4"/>
      <c r="C553" s="4"/>
      <c r="E553" s="4"/>
      <c r="F553" s="4"/>
      <c r="G553" s="5"/>
    </row>
    <row r="554" spans="2:7" ht="15.75" customHeight="1">
      <c r="B554" s="4"/>
      <c r="C554" s="4"/>
      <c r="E554" s="4"/>
      <c r="F554" s="4"/>
      <c r="G554" s="5"/>
    </row>
    <row r="555" spans="2:7" ht="15.75" customHeight="1">
      <c r="B555" s="4"/>
      <c r="C555" s="4"/>
      <c r="E555" s="4"/>
      <c r="F555" s="4"/>
      <c r="G555" s="5"/>
    </row>
    <row r="556" spans="2:7" ht="15.75" customHeight="1">
      <c r="B556" s="4"/>
      <c r="C556" s="4"/>
      <c r="E556" s="4"/>
      <c r="F556" s="4"/>
      <c r="G556" s="5"/>
    </row>
    <row r="557" spans="2:7" ht="15.75" customHeight="1">
      <c r="B557" s="4"/>
      <c r="C557" s="4"/>
      <c r="E557" s="4"/>
      <c r="F557" s="4"/>
      <c r="G557" s="5"/>
    </row>
    <row r="558" spans="2:7" ht="15.75" customHeight="1">
      <c r="B558" s="4"/>
      <c r="C558" s="4"/>
      <c r="E558" s="4"/>
      <c r="F558" s="4"/>
      <c r="G558" s="5"/>
    </row>
    <row r="559" spans="2:7" ht="15.75" customHeight="1">
      <c r="B559" s="4"/>
      <c r="C559" s="4"/>
      <c r="E559" s="4"/>
      <c r="F559" s="4"/>
      <c r="G559" s="5"/>
    </row>
    <row r="560" spans="2:7" ht="15.75" customHeight="1">
      <c r="B560" s="4"/>
      <c r="C560" s="4"/>
      <c r="E560" s="4"/>
      <c r="F560" s="4"/>
      <c r="G560" s="5"/>
    </row>
    <row r="561" spans="2:7" ht="15.75" customHeight="1">
      <c r="B561" s="4"/>
      <c r="C561" s="4"/>
      <c r="E561" s="4"/>
      <c r="F561" s="4"/>
      <c r="G561" s="5"/>
    </row>
    <row r="562" spans="2:7" ht="15.75" customHeight="1">
      <c r="B562" s="4"/>
      <c r="C562" s="4"/>
      <c r="E562" s="4"/>
      <c r="F562" s="4"/>
      <c r="G562" s="5"/>
    </row>
    <row r="563" spans="2:7" ht="15.75" customHeight="1">
      <c r="B563" s="4"/>
      <c r="C563" s="4"/>
      <c r="E563" s="4"/>
      <c r="F563" s="4"/>
      <c r="G563" s="5"/>
    </row>
    <row r="564" spans="2:7" ht="15.75" customHeight="1">
      <c r="B564" s="4"/>
      <c r="C564" s="4"/>
      <c r="E564" s="4"/>
      <c r="F564" s="4"/>
      <c r="G564" s="5"/>
    </row>
    <row r="565" spans="2:7" ht="15.75" customHeight="1">
      <c r="B565" s="4"/>
      <c r="C565" s="4"/>
      <c r="E565" s="4"/>
      <c r="F565" s="4"/>
      <c r="G565" s="5"/>
    </row>
    <row r="566" spans="2:7" ht="15.75" customHeight="1">
      <c r="B566" s="4"/>
      <c r="C566" s="4"/>
      <c r="E566" s="4"/>
      <c r="F566" s="4"/>
      <c r="G566" s="5"/>
    </row>
    <row r="567" spans="2:7" ht="15.75" customHeight="1">
      <c r="B567" s="4"/>
      <c r="C567" s="4"/>
      <c r="E567" s="4"/>
      <c r="F567" s="4"/>
      <c r="G567" s="5"/>
    </row>
    <row r="568" spans="2:7" ht="15.75" customHeight="1">
      <c r="B568" s="4"/>
      <c r="C568" s="4"/>
      <c r="E568" s="4"/>
      <c r="F568" s="4"/>
      <c r="G568" s="5"/>
    </row>
    <row r="569" spans="2:7" ht="15.75" customHeight="1">
      <c r="B569" s="4"/>
      <c r="C569" s="4"/>
      <c r="E569" s="4"/>
      <c r="F569" s="4"/>
      <c r="G569" s="5"/>
    </row>
    <row r="570" spans="2:7" ht="15.75" customHeight="1">
      <c r="B570" s="4"/>
      <c r="C570" s="4"/>
      <c r="E570" s="4"/>
      <c r="F570" s="4"/>
      <c r="G570" s="5"/>
    </row>
    <row r="571" spans="2:7" ht="15.75" customHeight="1">
      <c r="B571" s="4"/>
      <c r="C571" s="4"/>
      <c r="E571" s="4"/>
      <c r="F571" s="4"/>
      <c r="G571" s="5"/>
    </row>
    <row r="572" spans="2:7" ht="15.75" customHeight="1">
      <c r="B572" s="4"/>
      <c r="C572" s="4"/>
      <c r="E572" s="4"/>
      <c r="F572" s="4"/>
      <c r="G572" s="5"/>
    </row>
    <row r="573" spans="2:7" ht="15.75" customHeight="1">
      <c r="B573" s="4"/>
      <c r="C573" s="4"/>
      <c r="E573" s="4"/>
      <c r="F573" s="4"/>
      <c r="G573" s="5"/>
    </row>
    <row r="574" spans="2:7" ht="15.75" customHeight="1">
      <c r="B574" s="4"/>
      <c r="C574" s="4"/>
      <c r="E574" s="4"/>
      <c r="F574" s="4"/>
      <c r="G574" s="5"/>
    </row>
    <row r="575" spans="2:7" ht="15.75" customHeight="1">
      <c r="B575" s="4"/>
      <c r="C575" s="4"/>
      <c r="E575" s="4"/>
      <c r="F575" s="4"/>
      <c r="G575" s="5"/>
    </row>
    <row r="576" spans="2:7" ht="15.75" customHeight="1">
      <c r="B576" s="4"/>
      <c r="C576" s="4"/>
      <c r="E576" s="4"/>
      <c r="F576" s="4"/>
      <c r="G576" s="5"/>
    </row>
    <row r="577" spans="2:7" ht="15.75" customHeight="1">
      <c r="B577" s="4"/>
      <c r="C577" s="4"/>
      <c r="E577" s="4"/>
      <c r="F577" s="4"/>
      <c r="G577" s="5"/>
    </row>
    <row r="578" spans="2:7" ht="15.75" customHeight="1">
      <c r="B578" s="4"/>
      <c r="C578" s="4"/>
      <c r="E578" s="4"/>
      <c r="F578" s="4"/>
      <c r="G578" s="5"/>
    </row>
    <row r="579" spans="2:7" ht="15.75" customHeight="1">
      <c r="B579" s="4"/>
      <c r="C579" s="4"/>
      <c r="E579" s="4"/>
      <c r="F579" s="4"/>
      <c r="G579" s="5"/>
    </row>
    <row r="580" spans="2:7" ht="15.75" customHeight="1">
      <c r="B580" s="4"/>
      <c r="C580" s="4"/>
      <c r="E580" s="4"/>
      <c r="F580" s="4"/>
      <c r="G580" s="5"/>
    </row>
    <row r="581" spans="2:7" ht="15.75" customHeight="1">
      <c r="B581" s="4"/>
      <c r="C581" s="4"/>
      <c r="E581" s="4"/>
      <c r="F581" s="4"/>
      <c r="G581" s="5"/>
    </row>
    <row r="582" spans="2:7" ht="15.75" customHeight="1">
      <c r="B582" s="4"/>
      <c r="C582" s="4"/>
      <c r="E582" s="4"/>
      <c r="F582" s="4"/>
      <c r="G582" s="5"/>
    </row>
    <row r="583" spans="2:7" ht="15.75" customHeight="1">
      <c r="B583" s="4"/>
      <c r="C583" s="4"/>
      <c r="E583" s="4"/>
      <c r="F583" s="4"/>
      <c r="G583" s="5"/>
    </row>
    <row r="584" spans="2:7" ht="15.75" customHeight="1">
      <c r="B584" s="4"/>
      <c r="C584" s="4"/>
      <c r="E584" s="4"/>
      <c r="F584" s="4"/>
      <c r="G584" s="5"/>
    </row>
    <row r="585" spans="2:7" ht="15.75" customHeight="1">
      <c r="B585" s="4"/>
      <c r="C585" s="4"/>
      <c r="E585" s="4"/>
      <c r="F585" s="4"/>
      <c r="G585" s="5"/>
    </row>
    <row r="586" spans="2:7" ht="15.75" customHeight="1">
      <c r="B586" s="4"/>
      <c r="C586" s="4"/>
      <c r="E586" s="4"/>
      <c r="F586" s="4"/>
      <c r="G586" s="5"/>
    </row>
    <row r="587" spans="2:7" ht="15.75" customHeight="1">
      <c r="B587" s="4"/>
      <c r="C587" s="4"/>
      <c r="E587" s="4"/>
      <c r="F587" s="4"/>
      <c r="G587" s="5"/>
    </row>
    <row r="588" spans="2:7" ht="15.75" customHeight="1">
      <c r="B588" s="4"/>
      <c r="C588" s="4"/>
      <c r="E588" s="4"/>
      <c r="F588" s="4"/>
      <c r="G588" s="5"/>
    </row>
    <row r="589" spans="2:7" ht="15.75" customHeight="1">
      <c r="B589" s="4"/>
      <c r="C589" s="4"/>
      <c r="E589" s="4"/>
      <c r="F589" s="4"/>
      <c r="G589" s="5"/>
    </row>
    <row r="590" spans="2:7" ht="15.75" customHeight="1">
      <c r="B590" s="4"/>
      <c r="C590" s="4"/>
      <c r="E590" s="4"/>
      <c r="F590" s="4"/>
      <c r="G590" s="5"/>
    </row>
    <row r="591" spans="2:7" ht="15.75" customHeight="1">
      <c r="B591" s="4"/>
      <c r="C591" s="4"/>
      <c r="E591" s="4"/>
      <c r="F591" s="4"/>
      <c r="G591" s="5"/>
    </row>
    <row r="592" spans="2:7" ht="15.75" customHeight="1">
      <c r="B592" s="4"/>
      <c r="C592" s="4"/>
      <c r="E592" s="4"/>
      <c r="F592" s="4"/>
      <c r="G592" s="5"/>
    </row>
    <row r="593" spans="2:7" ht="15.75" customHeight="1">
      <c r="B593" s="4"/>
      <c r="C593" s="4"/>
      <c r="E593" s="4"/>
      <c r="F593" s="4"/>
      <c r="G593" s="5"/>
    </row>
    <row r="594" spans="2:7" ht="15.75" customHeight="1">
      <c r="B594" s="4"/>
      <c r="C594" s="4"/>
      <c r="E594" s="4"/>
      <c r="F594" s="4"/>
      <c r="G594" s="5"/>
    </row>
    <row r="595" spans="2:7" ht="15.75" customHeight="1">
      <c r="B595" s="4"/>
      <c r="C595" s="4"/>
      <c r="E595" s="4"/>
      <c r="F595" s="4"/>
      <c r="G595" s="5"/>
    </row>
    <row r="596" spans="2:7" ht="15.75" customHeight="1">
      <c r="B596" s="4"/>
      <c r="C596" s="4"/>
      <c r="E596" s="4"/>
      <c r="F596" s="4"/>
      <c r="G596" s="5"/>
    </row>
    <row r="597" spans="2:7" ht="15.75" customHeight="1">
      <c r="B597" s="4"/>
      <c r="C597" s="4"/>
      <c r="E597" s="4"/>
      <c r="F597" s="4"/>
      <c r="G597" s="5"/>
    </row>
    <row r="598" spans="2:7" ht="15.75" customHeight="1">
      <c r="B598" s="4"/>
      <c r="C598" s="4"/>
      <c r="E598" s="4"/>
      <c r="F598" s="4"/>
      <c r="G598" s="5"/>
    </row>
    <row r="599" spans="2:7" ht="15.75" customHeight="1">
      <c r="B599" s="4"/>
      <c r="C599" s="4"/>
      <c r="E599" s="4"/>
      <c r="F599" s="4"/>
      <c r="G599" s="5"/>
    </row>
    <row r="600" spans="2:7" ht="15.75" customHeight="1">
      <c r="B600" s="4"/>
      <c r="C600" s="4"/>
      <c r="E600" s="4"/>
      <c r="F600" s="4"/>
      <c r="G600" s="5"/>
    </row>
    <row r="601" spans="2:7" ht="15.75" customHeight="1">
      <c r="B601" s="4"/>
      <c r="C601" s="4"/>
      <c r="E601" s="4"/>
      <c r="F601" s="4"/>
      <c r="G601" s="5"/>
    </row>
    <row r="602" spans="2:7" ht="15.75" customHeight="1">
      <c r="B602" s="4"/>
      <c r="C602" s="4"/>
      <c r="E602" s="4"/>
      <c r="F602" s="4"/>
      <c r="G602" s="5"/>
    </row>
    <row r="603" spans="2:7" ht="15.75" customHeight="1">
      <c r="B603" s="4"/>
      <c r="C603" s="4"/>
      <c r="E603" s="4"/>
      <c r="F603" s="4"/>
      <c r="G603" s="5"/>
    </row>
    <row r="604" spans="2:7" ht="15.75" customHeight="1">
      <c r="B604" s="4"/>
      <c r="C604" s="4"/>
      <c r="E604" s="4"/>
      <c r="F604" s="4"/>
      <c r="G604" s="5"/>
    </row>
    <row r="605" spans="2:7" ht="15.75" customHeight="1">
      <c r="B605" s="4"/>
      <c r="C605" s="4"/>
      <c r="E605" s="4"/>
      <c r="F605" s="4"/>
      <c r="G605" s="5"/>
    </row>
    <row r="606" spans="2:7" ht="15.75" customHeight="1">
      <c r="B606" s="4"/>
      <c r="C606" s="4"/>
      <c r="E606" s="4"/>
      <c r="F606" s="4"/>
      <c r="G606" s="5"/>
    </row>
    <row r="607" spans="2:7" ht="15.75" customHeight="1">
      <c r="B607" s="4"/>
      <c r="C607" s="4"/>
      <c r="E607" s="4"/>
      <c r="F607" s="4"/>
      <c r="G607" s="5"/>
    </row>
    <row r="608" spans="2:7" ht="15.75" customHeight="1">
      <c r="B608" s="4"/>
      <c r="C608" s="4"/>
      <c r="E608" s="4"/>
      <c r="F608" s="4"/>
      <c r="G608" s="5"/>
    </row>
    <row r="609" spans="2:7" ht="15.75" customHeight="1">
      <c r="B609" s="4"/>
      <c r="C609" s="4"/>
      <c r="E609" s="4"/>
      <c r="F609" s="4"/>
      <c r="G609" s="5"/>
    </row>
    <row r="610" spans="2:7" ht="15.75" customHeight="1">
      <c r="B610" s="4"/>
      <c r="C610" s="4"/>
      <c r="E610" s="4"/>
      <c r="F610" s="4"/>
      <c r="G610" s="5"/>
    </row>
    <row r="611" spans="2:7" ht="15.75" customHeight="1">
      <c r="B611" s="4"/>
      <c r="C611" s="4"/>
      <c r="E611" s="4"/>
      <c r="F611" s="4"/>
      <c r="G611" s="5"/>
    </row>
    <row r="612" spans="2:7" ht="15.75" customHeight="1">
      <c r="B612" s="4"/>
      <c r="C612" s="4"/>
      <c r="E612" s="4"/>
      <c r="F612" s="4"/>
      <c r="G612" s="5"/>
    </row>
    <row r="613" spans="2:7" ht="15.75" customHeight="1">
      <c r="B613" s="4"/>
      <c r="C613" s="4"/>
      <c r="E613" s="4"/>
      <c r="F613" s="4"/>
      <c r="G613" s="5"/>
    </row>
    <row r="614" spans="2:7" ht="15.75" customHeight="1">
      <c r="B614" s="4"/>
      <c r="C614" s="4"/>
      <c r="E614" s="4"/>
      <c r="F614" s="4"/>
      <c r="G614" s="5"/>
    </row>
    <row r="615" spans="2:7" ht="15.75" customHeight="1">
      <c r="B615" s="4"/>
      <c r="C615" s="4"/>
      <c r="E615" s="4"/>
      <c r="F615" s="4"/>
      <c r="G615" s="5"/>
    </row>
    <row r="616" spans="2:7" ht="15.75" customHeight="1">
      <c r="B616" s="4"/>
      <c r="C616" s="4"/>
      <c r="E616" s="4"/>
      <c r="F616" s="4"/>
      <c r="G616" s="5"/>
    </row>
    <row r="617" spans="2:7" ht="15.75" customHeight="1">
      <c r="B617" s="4"/>
      <c r="C617" s="4"/>
      <c r="E617" s="4"/>
      <c r="F617" s="4"/>
      <c r="G617" s="5"/>
    </row>
    <row r="618" spans="2:7" ht="15.75" customHeight="1">
      <c r="B618" s="4"/>
      <c r="C618" s="4"/>
      <c r="E618" s="4"/>
      <c r="F618" s="4"/>
      <c r="G618" s="5"/>
    </row>
    <row r="619" spans="2:7" ht="15.75" customHeight="1">
      <c r="B619" s="4"/>
      <c r="C619" s="4"/>
      <c r="E619" s="4"/>
      <c r="F619" s="4"/>
      <c r="G619" s="5"/>
    </row>
    <row r="620" spans="2:7" ht="15.75" customHeight="1">
      <c r="B620" s="4"/>
      <c r="C620" s="4"/>
      <c r="E620" s="4"/>
      <c r="F620" s="4"/>
      <c r="G620" s="5"/>
    </row>
    <row r="621" spans="2:7" ht="15.75" customHeight="1">
      <c r="B621" s="4"/>
      <c r="C621" s="4"/>
      <c r="E621" s="4"/>
      <c r="F621" s="4"/>
      <c r="G621" s="5"/>
    </row>
    <row r="622" spans="2:7" ht="15.75" customHeight="1">
      <c r="B622" s="4"/>
      <c r="C622" s="4"/>
      <c r="E622" s="4"/>
      <c r="F622" s="4"/>
      <c r="G622" s="5"/>
    </row>
    <row r="623" spans="2:7" ht="15.75" customHeight="1">
      <c r="B623" s="4"/>
      <c r="C623" s="4"/>
      <c r="E623" s="4"/>
      <c r="F623" s="4"/>
      <c r="G623" s="5"/>
    </row>
    <row r="624" spans="2:7" ht="15.75" customHeight="1">
      <c r="B624" s="4"/>
      <c r="C624" s="4"/>
      <c r="E624" s="4"/>
      <c r="F624" s="4"/>
      <c r="G624" s="5"/>
    </row>
    <row r="625" spans="2:7" ht="15.75" customHeight="1">
      <c r="B625" s="4"/>
      <c r="C625" s="4"/>
      <c r="E625" s="4"/>
      <c r="F625" s="4"/>
      <c r="G625" s="5"/>
    </row>
    <row r="626" spans="2:7" ht="15.75" customHeight="1">
      <c r="B626" s="4"/>
      <c r="C626" s="4"/>
      <c r="E626" s="4"/>
      <c r="F626" s="4"/>
      <c r="G626" s="5"/>
    </row>
    <row r="627" spans="2:7" ht="15.75" customHeight="1">
      <c r="B627" s="4"/>
      <c r="C627" s="4"/>
      <c r="E627" s="4"/>
      <c r="F627" s="4"/>
      <c r="G627" s="5"/>
    </row>
    <row r="628" spans="2:7" ht="15.75" customHeight="1">
      <c r="B628" s="4"/>
      <c r="C628" s="4"/>
      <c r="E628" s="4"/>
      <c r="F628" s="4"/>
      <c r="G628" s="5"/>
    </row>
    <row r="629" spans="2:7" ht="15.75" customHeight="1">
      <c r="B629" s="4"/>
      <c r="C629" s="4"/>
      <c r="E629" s="4"/>
      <c r="F629" s="4"/>
      <c r="G629" s="5"/>
    </row>
    <row r="630" spans="2:7" ht="15.75" customHeight="1">
      <c r="B630" s="4"/>
      <c r="C630" s="4"/>
      <c r="E630" s="4"/>
      <c r="F630" s="4"/>
      <c r="G630" s="5"/>
    </row>
    <row r="631" spans="2:7" ht="15.75" customHeight="1">
      <c r="B631" s="4"/>
      <c r="C631" s="4"/>
      <c r="E631" s="4"/>
      <c r="F631" s="4"/>
      <c r="G631" s="5"/>
    </row>
    <row r="632" spans="2:7" ht="15.75" customHeight="1">
      <c r="B632" s="4"/>
      <c r="C632" s="4"/>
      <c r="E632" s="4"/>
      <c r="F632" s="4"/>
      <c r="G632" s="5"/>
    </row>
    <row r="633" spans="2:7" ht="15.75" customHeight="1">
      <c r="B633" s="4"/>
      <c r="C633" s="4"/>
      <c r="E633" s="4"/>
      <c r="F633" s="4"/>
      <c r="G633" s="5"/>
    </row>
    <row r="634" spans="2:7" ht="15.75" customHeight="1">
      <c r="B634" s="4"/>
      <c r="C634" s="4"/>
      <c r="E634" s="4"/>
      <c r="F634" s="4"/>
      <c r="G634" s="5"/>
    </row>
    <row r="635" spans="2:7" ht="15.75" customHeight="1">
      <c r="B635" s="4"/>
      <c r="C635" s="4"/>
      <c r="E635" s="4"/>
      <c r="F635" s="4"/>
      <c r="G635" s="5"/>
    </row>
    <row r="636" spans="2:7" ht="15.75" customHeight="1">
      <c r="B636" s="4"/>
      <c r="C636" s="4"/>
      <c r="E636" s="4"/>
      <c r="F636" s="4"/>
      <c r="G636" s="5"/>
    </row>
    <row r="637" spans="2:7" ht="15.75" customHeight="1">
      <c r="B637" s="4"/>
      <c r="C637" s="4"/>
      <c r="E637" s="4"/>
      <c r="F637" s="4"/>
      <c r="G637" s="5"/>
    </row>
    <row r="638" spans="2:7" ht="15.75" customHeight="1">
      <c r="B638" s="4"/>
      <c r="C638" s="4"/>
      <c r="E638" s="4"/>
      <c r="F638" s="4"/>
      <c r="G638" s="5"/>
    </row>
    <row r="639" spans="2:7" ht="15.75" customHeight="1">
      <c r="B639" s="4"/>
      <c r="C639" s="4"/>
      <c r="E639" s="4"/>
      <c r="F639" s="4"/>
      <c r="G639" s="5"/>
    </row>
    <row r="640" spans="2:7" ht="15.75" customHeight="1">
      <c r="B640" s="4"/>
      <c r="C640" s="4"/>
      <c r="E640" s="4"/>
      <c r="F640" s="4"/>
      <c r="G640" s="5"/>
    </row>
    <row r="641" spans="2:7" ht="15.75" customHeight="1">
      <c r="B641" s="4"/>
      <c r="C641" s="4"/>
      <c r="E641" s="4"/>
      <c r="F641" s="4"/>
      <c r="G641" s="5"/>
    </row>
    <row r="642" spans="2:7" ht="15.75" customHeight="1">
      <c r="B642" s="4"/>
      <c r="C642" s="4"/>
      <c r="E642" s="4"/>
      <c r="F642" s="4"/>
      <c r="G642" s="5"/>
    </row>
    <row r="643" spans="2:7" ht="15.75" customHeight="1">
      <c r="B643" s="4"/>
      <c r="C643" s="4"/>
      <c r="E643" s="4"/>
      <c r="F643" s="4"/>
      <c r="G643" s="5"/>
    </row>
    <row r="644" spans="2:7" ht="15.75" customHeight="1">
      <c r="B644" s="4"/>
      <c r="C644" s="4"/>
      <c r="E644" s="4"/>
      <c r="F644" s="4"/>
      <c r="G644" s="5"/>
    </row>
    <row r="645" spans="2:7" ht="15.75" customHeight="1">
      <c r="B645" s="4"/>
      <c r="C645" s="4"/>
      <c r="E645" s="4"/>
      <c r="F645" s="4"/>
      <c r="G645" s="5"/>
    </row>
    <row r="646" spans="2:7" ht="15.75" customHeight="1">
      <c r="B646" s="4"/>
      <c r="C646" s="4"/>
      <c r="E646" s="4"/>
      <c r="F646" s="4"/>
      <c r="G646" s="5"/>
    </row>
    <row r="647" spans="2:7" ht="15.75" customHeight="1">
      <c r="B647" s="4"/>
      <c r="C647" s="4"/>
      <c r="E647" s="4"/>
      <c r="F647" s="4"/>
      <c r="G647" s="5"/>
    </row>
    <row r="648" spans="2:7" ht="15.75" customHeight="1">
      <c r="B648" s="4"/>
      <c r="C648" s="4"/>
      <c r="E648" s="4"/>
      <c r="F648" s="4"/>
      <c r="G648" s="5"/>
    </row>
    <row r="649" spans="2:7" ht="15.75" customHeight="1">
      <c r="B649" s="4"/>
      <c r="C649" s="4"/>
      <c r="E649" s="4"/>
      <c r="F649" s="4"/>
      <c r="G649" s="5"/>
    </row>
    <row r="650" spans="2:7" ht="15.75" customHeight="1">
      <c r="B650" s="4"/>
      <c r="C650" s="4"/>
      <c r="E650" s="4"/>
      <c r="F650" s="4"/>
      <c r="G650" s="5"/>
    </row>
    <row r="651" spans="2:7" ht="15.75" customHeight="1">
      <c r="B651" s="4"/>
      <c r="C651" s="4"/>
      <c r="E651" s="4"/>
      <c r="F651" s="4"/>
      <c r="G651" s="5"/>
    </row>
    <row r="652" spans="2:7" ht="15.75" customHeight="1">
      <c r="B652" s="4"/>
      <c r="C652" s="4"/>
      <c r="E652" s="4"/>
      <c r="F652" s="4"/>
      <c r="G652" s="5"/>
    </row>
    <row r="653" spans="2:7" ht="15.75" customHeight="1">
      <c r="B653" s="4"/>
      <c r="C653" s="4"/>
      <c r="E653" s="4"/>
      <c r="F653" s="4"/>
      <c r="G653" s="5"/>
    </row>
    <row r="654" spans="2:7" ht="15.75" customHeight="1">
      <c r="B654" s="4"/>
      <c r="C654" s="4"/>
      <c r="E654" s="4"/>
      <c r="F654" s="4"/>
      <c r="G654" s="5"/>
    </row>
    <row r="655" spans="2:7" ht="15.75" customHeight="1">
      <c r="B655" s="4"/>
      <c r="C655" s="4"/>
      <c r="E655" s="4"/>
      <c r="F655" s="4"/>
      <c r="G655" s="5"/>
    </row>
    <row r="656" spans="2:7" ht="15.75" customHeight="1">
      <c r="B656" s="4"/>
      <c r="C656" s="4"/>
      <c r="E656" s="4"/>
      <c r="F656" s="4"/>
      <c r="G656" s="5"/>
    </row>
    <row r="657" spans="2:7" ht="15.75" customHeight="1">
      <c r="B657" s="4"/>
      <c r="C657" s="4"/>
      <c r="E657" s="4"/>
      <c r="F657" s="4"/>
      <c r="G657" s="5"/>
    </row>
    <row r="658" spans="2:7" ht="15.75" customHeight="1">
      <c r="B658" s="4"/>
      <c r="C658" s="4"/>
      <c r="E658" s="4"/>
      <c r="F658" s="4"/>
      <c r="G658" s="5"/>
    </row>
    <row r="659" spans="2:7" ht="15.75" customHeight="1">
      <c r="B659" s="4"/>
      <c r="C659" s="4"/>
      <c r="E659" s="4"/>
      <c r="F659" s="4"/>
      <c r="G659" s="5"/>
    </row>
    <row r="660" spans="2:7" ht="15.75" customHeight="1">
      <c r="B660" s="4"/>
      <c r="C660" s="4"/>
      <c r="E660" s="4"/>
      <c r="F660" s="4"/>
      <c r="G660" s="5"/>
    </row>
    <row r="661" spans="2:7" ht="15.75" customHeight="1">
      <c r="B661" s="4"/>
      <c r="C661" s="4"/>
      <c r="E661" s="4"/>
      <c r="F661" s="4"/>
      <c r="G661" s="5"/>
    </row>
    <row r="662" spans="2:7" ht="15.75" customHeight="1">
      <c r="B662" s="4"/>
      <c r="C662" s="4"/>
      <c r="E662" s="4"/>
      <c r="F662" s="4"/>
      <c r="G662" s="5"/>
    </row>
    <row r="663" spans="2:7" ht="15.75" customHeight="1">
      <c r="B663" s="4"/>
      <c r="C663" s="4"/>
      <c r="E663" s="4"/>
      <c r="F663" s="4"/>
      <c r="G663" s="5"/>
    </row>
    <row r="664" spans="2:7" ht="15.75" customHeight="1">
      <c r="B664" s="4"/>
      <c r="C664" s="4"/>
      <c r="E664" s="4"/>
      <c r="F664" s="4"/>
      <c r="G664" s="5"/>
    </row>
    <row r="665" spans="2:7" ht="15.75" customHeight="1">
      <c r="B665" s="4"/>
      <c r="C665" s="4"/>
      <c r="E665" s="4"/>
      <c r="F665" s="4"/>
      <c r="G665" s="5"/>
    </row>
    <row r="666" spans="2:7" ht="15.75" customHeight="1">
      <c r="B666" s="4"/>
      <c r="C666" s="4"/>
      <c r="E666" s="4"/>
      <c r="F666" s="4"/>
      <c r="G666" s="5"/>
    </row>
    <row r="667" spans="2:7" ht="15.75" customHeight="1">
      <c r="B667" s="4"/>
      <c r="C667" s="4"/>
      <c r="E667" s="4"/>
      <c r="F667" s="4"/>
      <c r="G667" s="5"/>
    </row>
    <row r="668" spans="2:7" ht="15.75" customHeight="1">
      <c r="B668" s="4"/>
      <c r="C668" s="4"/>
      <c r="E668" s="4"/>
      <c r="F668" s="4"/>
      <c r="G668" s="5"/>
    </row>
    <row r="669" spans="2:7" ht="15.75" customHeight="1">
      <c r="B669" s="4"/>
      <c r="C669" s="4"/>
      <c r="E669" s="4"/>
      <c r="F669" s="4"/>
      <c r="G669" s="5"/>
    </row>
    <row r="670" spans="2:7" ht="15.75" customHeight="1">
      <c r="B670" s="4"/>
      <c r="C670" s="4"/>
      <c r="E670" s="4"/>
      <c r="F670" s="4"/>
      <c r="G670" s="5"/>
    </row>
    <row r="671" spans="2:7" ht="15.75" customHeight="1">
      <c r="B671" s="4"/>
      <c r="C671" s="4"/>
      <c r="E671" s="4"/>
      <c r="F671" s="4"/>
      <c r="G671" s="5"/>
    </row>
    <row r="672" spans="2:7" ht="15.75" customHeight="1">
      <c r="B672" s="4"/>
      <c r="C672" s="4"/>
      <c r="E672" s="4"/>
      <c r="F672" s="4"/>
      <c r="G672" s="5"/>
    </row>
    <row r="673" spans="2:7" ht="15.75" customHeight="1">
      <c r="B673" s="4"/>
      <c r="C673" s="4"/>
      <c r="E673" s="4"/>
      <c r="F673" s="4"/>
      <c r="G673" s="5"/>
    </row>
    <row r="674" spans="2:7" ht="15.75" customHeight="1">
      <c r="B674" s="4"/>
      <c r="C674" s="4"/>
      <c r="E674" s="4"/>
      <c r="F674" s="4"/>
      <c r="G674" s="5"/>
    </row>
    <row r="675" spans="2:7" ht="15.75" customHeight="1">
      <c r="B675" s="4"/>
      <c r="C675" s="4"/>
      <c r="E675" s="4"/>
      <c r="F675" s="4"/>
      <c r="G675" s="5"/>
    </row>
    <row r="676" spans="2:7" ht="15.75" customHeight="1">
      <c r="B676" s="4"/>
      <c r="C676" s="4"/>
      <c r="E676" s="4"/>
      <c r="F676" s="4"/>
      <c r="G676" s="5"/>
    </row>
    <row r="677" spans="2:7" ht="15.75" customHeight="1">
      <c r="B677" s="4"/>
      <c r="C677" s="4"/>
      <c r="E677" s="4"/>
      <c r="F677" s="4"/>
      <c r="G677" s="5"/>
    </row>
    <row r="678" spans="2:7" ht="15.75" customHeight="1">
      <c r="B678" s="4"/>
      <c r="C678" s="4"/>
      <c r="E678" s="4"/>
      <c r="F678" s="4"/>
      <c r="G678" s="5"/>
    </row>
    <row r="679" spans="2:7" ht="15.75" customHeight="1">
      <c r="B679" s="4"/>
      <c r="C679" s="4"/>
      <c r="E679" s="4"/>
      <c r="F679" s="4"/>
      <c r="G679" s="5"/>
    </row>
    <row r="680" spans="2:7" ht="15.75" customHeight="1">
      <c r="B680" s="4"/>
      <c r="C680" s="4"/>
      <c r="E680" s="4"/>
      <c r="F680" s="4"/>
      <c r="G680" s="5"/>
    </row>
    <row r="681" spans="2:7" ht="15.75" customHeight="1">
      <c r="B681" s="4"/>
      <c r="C681" s="4"/>
      <c r="E681" s="4"/>
      <c r="F681" s="4"/>
      <c r="G681" s="5"/>
    </row>
    <row r="682" spans="2:7" ht="15.75" customHeight="1">
      <c r="B682" s="4"/>
      <c r="C682" s="4"/>
      <c r="E682" s="4"/>
      <c r="F682" s="4"/>
      <c r="G682" s="5"/>
    </row>
    <row r="683" spans="2:7" ht="15.75" customHeight="1">
      <c r="B683" s="4"/>
      <c r="C683" s="4"/>
      <c r="E683" s="4"/>
      <c r="F683" s="4"/>
      <c r="G683" s="5"/>
    </row>
    <row r="684" spans="2:7" ht="15.75" customHeight="1">
      <c r="B684" s="4"/>
      <c r="C684" s="4"/>
      <c r="E684" s="4"/>
      <c r="F684" s="4"/>
      <c r="G684" s="5"/>
    </row>
    <row r="685" spans="2:7" ht="15.75" customHeight="1">
      <c r="B685" s="4"/>
      <c r="C685" s="4"/>
      <c r="E685" s="4"/>
      <c r="F685" s="4"/>
      <c r="G685" s="5"/>
    </row>
    <row r="686" spans="2:7" ht="15.75" customHeight="1">
      <c r="B686" s="4"/>
      <c r="C686" s="4"/>
      <c r="E686" s="4"/>
      <c r="F686" s="4"/>
      <c r="G686" s="5"/>
    </row>
    <row r="687" spans="2:7" ht="15.75" customHeight="1">
      <c r="B687" s="4"/>
      <c r="C687" s="4"/>
      <c r="E687" s="4"/>
      <c r="F687" s="4"/>
      <c r="G687" s="5"/>
    </row>
    <row r="688" spans="2:7" ht="15.75" customHeight="1">
      <c r="B688" s="4"/>
      <c r="C688" s="4"/>
      <c r="E688" s="4"/>
      <c r="F688" s="4"/>
      <c r="G688" s="5"/>
    </row>
    <row r="689" spans="2:7" ht="15.75" customHeight="1">
      <c r="B689" s="4"/>
      <c r="C689" s="4"/>
      <c r="E689" s="4"/>
      <c r="F689" s="4"/>
      <c r="G689" s="5"/>
    </row>
    <row r="690" spans="2:7" ht="15.75" customHeight="1">
      <c r="B690" s="4"/>
      <c r="C690" s="4"/>
      <c r="E690" s="4"/>
      <c r="F690" s="4"/>
      <c r="G690" s="5"/>
    </row>
    <row r="691" spans="2:7" ht="15.75" customHeight="1">
      <c r="B691" s="4"/>
      <c r="C691" s="4"/>
      <c r="E691" s="4"/>
      <c r="F691" s="4"/>
      <c r="G691" s="5"/>
    </row>
    <row r="692" spans="2:7" ht="15.75" customHeight="1">
      <c r="B692" s="4"/>
      <c r="C692" s="4"/>
      <c r="E692" s="4"/>
      <c r="F692" s="4"/>
      <c r="G692" s="5"/>
    </row>
    <row r="693" spans="2:7" ht="15.75" customHeight="1">
      <c r="B693" s="4"/>
      <c r="C693" s="4"/>
      <c r="E693" s="4"/>
      <c r="F693" s="4"/>
      <c r="G693" s="5"/>
    </row>
    <row r="694" spans="2:7" ht="15.75" customHeight="1">
      <c r="B694" s="4"/>
      <c r="C694" s="4"/>
      <c r="E694" s="4"/>
      <c r="F694" s="4"/>
      <c r="G694" s="5"/>
    </row>
    <row r="695" spans="2:7" ht="15.75" customHeight="1">
      <c r="B695" s="4"/>
      <c r="C695" s="4"/>
      <c r="E695" s="4"/>
      <c r="F695" s="4"/>
      <c r="G695" s="5"/>
    </row>
    <row r="696" spans="2:7" ht="15.75" customHeight="1">
      <c r="B696" s="4"/>
      <c r="C696" s="4"/>
      <c r="E696" s="4"/>
      <c r="F696" s="4"/>
      <c r="G696" s="5"/>
    </row>
    <row r="697" spans="2:7" ht="15.75" customHeight="1">
      <c r="B697" s="4"/>
      <c r="C697" s="4"/>
      <c r="E697" s="4"/>
      <c r="F697" s="4"/>
      <c r="G697" s="5"/>
    </row>
    <row r="698" spans="2:7" ht="15.75" customHeight="1">
      <c r="B698" s="4"/>
      <c r="C698" s="4"/>
      <c r="E698" s="4"/>
      <c r="F698" s="4"/>
      <c r="G698" s="5"/>
    </row>
    <row r="699" spans="2:7" ht="15.75" customHeight="1">
      <c r="B699" s="4"/>
      <c r="C699" s="4"/>
      <c r="E699" s="4"/>
      <c r="F699" s="4"/>
      <c r="G699" s="5"/>
    </row>
    <row r="700" spans="2:7" ht="15.75" customHeight="1">
      <c r="B700" s="4"/>
      <c r="C700" s="4"/>
      <c r="E700" s="4"/>
      <c r="F700" s="4"/>
      <c r="G700" s="5"/>
    </row>
    <row r="701" spans="2:7" ht="15.75" customHeight="1">
      <c r="B701" s="4"/>
      <c r="C701" s="4"/>
      <c r="E701" s="4"/>
      <c r="F701" s="4"/>
      <c r="G701" s="5"/>
    </row>
    <row r="702" spans="2:7" ht="15.75" customHeight="1">
      <c r="B702" s="4"/>
      <c r="C702" s="4"/>
      <c r="E702" s="4"/>
      <c r="F702" s="4"/>
      <c r="G702" s="5"/>
    </row>
    <row r="703" spans="2:7" ht="15.75" customHeight="1">
      <c r="B703" s="4"/>
      <c r="C703" s="4"/>
      <c r="E703" s="4"/>
      <c r="F703" s="4"/>
      <c r="G703" s="5"/>
    </row>
    <row r="704" spans="2:7" ht="15.75" customHeight="1">
      <c r="B704" s="4"/>
      <c r="C704" s="4"/>
      <c r="E704" s="4"/>
      <c r="F704" s="4"/>
      <c r="G704" s="5"/>
    </row>
    <row r="705" spans="2:7" ht="15.75" customHeight="1">
      <c r="B705" s="4"/>
      <c r="C705" s="4"/>
      <c r="E705" s="4"/>
      <c r="F705" s="4"/>
      <c r="G705" s="5"/>
    </row>
    <row r="706" spans="2:7" ht="15.75" customHeight="1">
      <c r="B706" s="4"/>
      <c r="C706" s="4"/>
      <c r="E706" s="4"/>
      <c r="F706" s="4"/>
      <c r="G706" s="5"/>
    </row>
    <row r="707" spans="2:7" ht="15.75" customHeight="1">
      <c r="B707" s="4"/>
      <c r="C707" s="4"/>
      <c r="E707" s="4"/>
      <c r="F707" s="4"/>
      <c r="G707" s="5"/>
    </row>
    <row r="708" spans="2:7" ht="15.75" customHeight="1">
      <c r="B708" s="4"/>
      <c r="C708" s="4"/>
      <c r="E708" s="4"/>
      <c r="F708" s="4"/>
      <c r="G708" s="5"/>
    </row>
    <row r="709" spans="2:7" ht="15.75" customHeight="1">
      <c r="B709" s="4"/>
      <c r="C709" s="4"/>
      <c r="E709" s="4"/>
      <c r="F709" s="4"/>
      <c r="G709" s="5"/>
    </row>
    <row r="710" spans="2:7" ht="15.75" customHeight="1">
      <c r="B710" s="4"/>
      <c r="C710" s="4"/>
      <c r="E710" s="4"/>
      <c r="F710" s="4"/>
      <c r="G710" s="5"/>
    </row>
    <row r="711" spans="2:7" ht="15.75" customHeight="1">
      <c r="B711" s="4"/>
      <c r="C711" s="4"/>
      <c r="E711" s="4"/>
      <c r="F711" s="4"/>
      <c r="G711" s="5"/>
    </row>
    <row r="712" spans="2:7" ht="15.75" customHeight="1">
      <c r="B712" s="4"/>
      <c r="C712" s="4"/>
      <c r="E712" s="4"/>
      <c r="F712" s="4"/>
      <c r="G712" s="5"/>
    </row>
    <row r="713" spans="2:7" ht="15.75" customHeight="1">
      <c r="B713" s="4"/>
      <c r="C713" s="4"/>
      <c r="E713" s="4"/>
      <c r="F713" s="4"/>
      <c r="G713" s="5"/>
    </row>
    <row r="714" spans="2:7" ht="15.75" customHeight="1">
      <c r="B714" s="4"/>
      <c r="C714" s="4"/>
      <c r="E714" s="4"/>
      <c r="F714" s="4"/>
      <c r="G714" s="5"/>
    </row>
    <row r="715" spans="2:7" ht="15.75" customHeight="1">
      <c r="B715" s="4"/>
      <c r="C715" s="4"/>
      <c r="E715" s="4"/>
      <c r="F715" s="4"/>
      <c r="G715" s="5"/>
    </row>
    <row r="716" spans="2:7" ht="15.75" customHeight="1">
      <c r="B716" s="4"/>
      <c r="C716" s="4"/>
      <c r="E716" s="4"/>
      <c r="F716" s="4"/>
      <c r="G716" s="5"/>
    </row>
    <row r="717" spans="2:7" ht="15.75" customHeight="1">
      <c r="B717" s="4"/>
      <c r="C717" s="4"/>
      <c r="E717" s="4"/>
      <c r="F717" s="4"/>
      <c r="G717" s="5"/>
    </row>
    <row r="718" spans="2:7" ht="15.75" customHeight="1">
      <c r="B718" s="4"/>
      <c r="C718" s="4"/>
      <c r="E718" s="4"/>
      <c r="F718" s="4"/>
      <c r="G718" s="5"/>
    </row>
    <row r="719" spans="2:7" ht="15.75" customHeight="1">
      <c r="B719" s="4"/>
      <c r="C719" s="4"/>
      <c r="E719" s="4"/>
      <c r="F719" s="4"/>
      <c r="G719" s="5"/>
    </row>
    <row r="720" spans="2:7" ht="15.75" customHeight="1">
      <c r="B720" s="4"/>
      <c r="C720" s="4"/>
      <c r="E720" s="4"/>
      <c r="F720" s="4"/>
      <c r="G720" s="5"/>
    </row>
    <row r="721" spans="2:7" ht="15.75" customHeight="1">
      <c r="B721" s="4"/>
      <c r="C721" s="4"/>
      <c r="E721" s="4"/>
      <c r="F721" s="4"/>
      <c r="G721" s="5"/>
    </row>
    <row r="722" spans="2:7" ht="15.75" customHeight="1">
      <c r="B722" s="4"/>
      <c r="C722" s="4"/>
      <c r="E722" s="4"/>
      <c r="F722" s="4"/>
      <c r="G722" s="5"/>
    </row>
    <row r="723" spans="2:7" ht="15.75" customHeight="1">
      <c r="B723" s="4"/>
      <c r="C723" s="4"/>
      <c r="E723" s="4"/>
      <c r="F723" s="4"/>
      <c r="G723" s="5"/>
    </row>
    <row r="724" spans="2:7" ht="15.75" customHeight="1">
      <c r="B724" s="4"/>
      <c r="C724" s="4"/>
      <c r="E724" s="4"/>
      <c r="F724" s="4"/>
      <c r="G724" s="5"/>
    </row>
    <row r="725" spans="2:7" ht="15.75" customHeight="1">
      <c r="B725" s="4"/>
      <c r="C725" s="4"/>
      <c r="E725" s="4"/>
      <c r="F725" s="4"/>
      <c r="G725" s="5"/>
    </row>
    <row r="726" spans="2:7" ht="15.75" customHeight="1">
      <c r="B726" s="4"/>
      <c r="C726" s="4"/>
      <c r="E726" s="4"/>
      <c r="F726" s="4"/>
      <c r="G726" s="5"/>
    </row>
    <row r="727" spans="2:7" ht="15.75" customHeight="1">
      <c r="B727" s="4"/>
      <c r="C727" s="4"/>
      <c r="E727" s="4"/>
      <c r="F727" s="4"/>
      <c r="G727" s="5"/>
    </row>
    <row r="728" spans="2:7" ht="15.75" customHeight="1">
      <c r="B728" s="4"/>
      <c r="C728" s="4"/>
      <c r="E728" s="4"/>
      <c r="F728" s="4"/>
      <c r="G728" s="5"/>
    </row>
    <row r="729" spans="2:7" ht="15.75" customHeight="1">
      <c r="B729" s="4"/>
      <c r="C729" s="4"/>
      <c r="E729" s="4"/>
      <c r="F729" s="4"/>
      <c r="G729" s="5"/>
    </row>
    <row r="730" spans="2:7" ht="15.75" customHeight="1">
      <c r="B730" s="4"/>
      <c r="C730" s="4"/>
      <c r="E730" s="4"/>
      <c r="F730" s="4"/>
      <c r="G730" s="5"/>
    </row>
    <row r="731" spans="2:7" ht="15.75" customHeight="1">
      <c r="B731" s="4"/>
      <c r="C731" s="4"/>
      <c r="E731" s="4"/>
      <c r="F731" s="4"/>
      <c r="G731" s="5"/>
    </row>
    <row r="732" spans="2:7" ht="15.75" customHeight="1">
      <c r="B732" s="4"/>
      <c r="C732" s="4"/>
      <c r="E732" s="4"/>
      <c r="F732" s="4"/>
      <c r="G732" s="5"/>
    </row>
    <row r="733" spans="2:7" ht="15.75" customHeight="1">
      <c r="B733" s="4"/>
      <c r="C733" s="4"/>
      <c r="E733" s="4"/>
      <c r="F733" s="4"/>
      <c r="G733" s="5"/>
    </row>
    <row r="734" spans="2:7" ht="15.75" customHeight="1">
      <c r="B734" s="4"/>
      <c r="C734" s="4"/>
      <c r="E734" s="4"/>
      <c r="F734" s="4"/>
      <c r="G734" s="5"/>
    </row>
    <row r="735" spans="2:7" ht="15.75" customHeight="1">
      <c r="B735" s="4"/>
      <c r="C735" s="4"/>
      <c r="E735" s="4"/>
      <c r="F735" s="4"/>
      <c r="G735" s="5"/>
    </row>
    <row r="736" spans="2:7" ht="15.75" customHeight="1">
      <c r="B736" s="4"/>
      <c r="C736" s="4"/>
      <c r="E736" s="4"/>
      <c r="F736" s="4"/>
      <c r="G736" s="5"/>
    </row>
    <row r="737" spans="2:7" ht="15.75" customHeight="1">
      <c r="B737" s="4"/>
      <c r="C737" s="4"/>
      <c r="E737" s="4"/>
      <c r="F737" s="4"/>
      <c r="G737" s="5"/>
    </row>
    <row r="738" spans="2:7" ht="15.75" customHeight="1">
      <c r="B738" s="4"/>
      <c r="C738" s="4"/>
      <c r="E738" s="4"/>
      <c r="F738" s="4"/>
      <c r="G738" s="5"/>
    </row>
    <row r="739" spans="2:7" ht="15.75" customHeight="1">
      <c r="B739" s="4"/>
      <c r="C739" s="4"/>
      <c r="E739" s="4"/>
      <c r="F739" s="4"/>
      <c r="G739" s="5"/>
    </row>
    <row r="740" spans="2:7" ht="15.75" customHeight="1">
      <c r="B740" s="4"/>
      <c r="C740" s="4"/>
      <c r="E740" s="4"/>
      <c r="F740" s="4"/>
      <c r="G740" s="5"/>
    </row>
    <row r="741" spans="2:7" ht="15.75" customHeight="1">
      <c r="B741" s="4"/>
      <c r="C741" s="4"/>
      <c r="E741" s="4"/>
      <c r="F741" s="4"/>
      <c r="G741" s="5"/>
    </row>
    <row r="742" spans="2:7" ht="15.75" customHeight="1">
      <c r="B742" s="4"/>
      <c r="C742" s="4"/>
      <c r="E742" s="4"/>
      <c r="F742" s="4"/>
      <c r="G742" s="5"/>
    </row>
    <row r="743" spans="2:7" ht="15.75" customHeight="1">
      <c r="B743" s="4"/>
      <c r="C743" s="4"/>
      <c r="E743" s="4"/>
      <c r="F743" s="4"/>
      <c r="G743" s="5"/>
    </row>
    <row r="744" spans="2:7" ht="15.75" customHeight="1">
      <c r="B744" s="4"/>
      <c r="C744" s="4"/>
      <c r="E744" s="4"/>
      <c r="F744" s="4"/>
      <c r="G744" s="5"/>
    </row>
    <row r="745" spans="2:7" ht="15.75" customHeight="1">
      <c r="B745" s="4"/>
      <c r="C745" s="4"/>
      <c r="E745" s="4"/>
      <c r="F745" s="4"/>
      <c r="G745" s="5"/>
    </row>
    <row r="746" spans="2:7" ht="15.75" customHeight="1">
      <c r="B746" s="4"/>
      <c r="C746" s="4"/>
      <c r="E746" s="4"/>
      <c r="F746" s="4"/>
      <c r="G746" s="5"/>
    </row>
    <row r="747" spans="2:7" ht="15.75" customHeight="1">
      <c r="B747" s="4"/>
      <c r="C747" s="4"/>
      <c r="E747" s="4"/>
      <c r="F747" s="4"/>
      <c r="G747" s="5"/>
    </row>
    <row r="748" spans="2:7" ht="15.75" customHeight="1">
      <c r="B748" s="4"/>
      <c r="C748" s="4"/>
      <c r="E748" s="4"/>
      <c r="F748" s="4"/>
      <c r="G748" s="5"/>
    </row>
    <row r="749" spans="2:7" ht="15.75" customHeight="1">
      <c r="B749" s="4"/>
      <c r="C749" s="4"/>
      <c r="E749" s="4"/>
      <c r="F749" s="4"/>
      <c r="G749" s="5"/>
    </row>
    <row r="750" spans="2:7" ht="15.75" customHeight="1">
      <c r="B750" s="4"/>
      <c r="C750" s="4"/>
      <c r="E750" s="4"/>
      <c r="F750" s="4"/>
      <c r="G750" s="5"/>
    </row>
    <row r="751" spans="2:7" ht="15.75" customHeight="1">
      <c r="B751" s="4"/>
      <c r="C751" s="4"/>
      <c r="E751" s="4"/>
      <c r="F751" s="4"/>
      <c r="G751" s="5"/>
    </row>
    <row r="752" spans="2:7" ht="15.75" customHeight="1">
      <c r="B752" s="4"/>
      <c r="C752" s="4"/>
      <c r="E752" s="4"/>
      <c r="F752" s="4"/>
      <c r="G752" s="5"/>
    </row>
    <row r="753" spans="2:7" ht="15.75" customHeight="1">
      <c r="B753" s="4"/>
      <c r="C753" s="4"/>
      <c r="E753" s="4"/>
      <c r="F753" s="4"/>
      <c r="G753" s="5"/>
    </row>
    <row r="754" spans="2:7" ht="15.75" customHeight="1">
      <c r="B754" s="4"/>
      <c r="C754" s="4"/>
      <c r="E754" s="4"/>
      <c r="F754" s="4"/>
      <c r="G754" s="5"/>
    </row>
    <row r="755" spans="2:7" ht="15.75" customHeight="1">
      <c r="B755" s="4"/>
      <c r="C755" s="4"/>
      <c r="E755" s="4"/>
      <c r="F755" s="4"/>
      <c r="G755" s="5"/>
    </row>
    <row r="756" spans="2:7" ht="15.75" customHeight="1">
      <c r="B756" s="4"/>
      <c r="C756" s="4"/>
      <c r="E756" s="4"/>
      <c r="F756" s="4"/>
      <c r="G756" s="5"/>
    </row>
    <row r="757" spans="2:7" ht="15.75" customHeight="1">
      <c r="B757" s="4"/>
      <c r="C757" s="4"/>
      <c r="E757" s="4"/>
      <c r="F757" s="4"/>
      <c r="G757" s="5"/>
    </row>
    <row r="758" spans="2:7" ht="15.75" customHeight="1">
      <c r="B758" s="4"/>
      <c r="C758" s="4"/>
      <c r="E758" s="4"/>
      <c r="F758" s="4"/>
      <c r="G758" s="5"/>
    </row>
    <row r="759" spans="2:7" ht="15.75" customHeight="1">
      <c r="B759" s="4"/>
      <c r="C759" s="4"/>
      <c r="E759" s="4"/>
      <c r="F759" s="4"/>
      <c r="G759" s="5"/>
    </row>
    <row r="760" spans="2:7" ht="15.75" customHeight="1">
      <c r="B760" s="4"/>
      <c r="C760" s="4"/>
      <c r="E760" s="4"/>
      <c r="F760" s="4"/>
      <c r="G760" s="5"/>
    </row>
    <row r="761" spans="2:7" ht="15.75" customHeight="1">
      <c r="B761" s="4"/>
      <c r="C761" s="4"/>
      <c r="E761" s="4"/>
      <c r="F761" s="4"/>
      <c r="G761" s="5"/>
    </row>
    <row r="762" spans="2:7" ht="15.75" customHeight="1">
      <c r="B762" s="4"/>
      <c r="C762" s="4"/>
      <c r="E762" s="4"/>
      <c r="F762" s="4"/>
      <c r="G762" s="5"/>
    </row>
    <row r="763" spans="2:7" ht="15.75" customHeight="1">
      <c r="B763" s="4"/>
      <c r="C763" s="4"/>
      <c r="E763" s="4"/>
      <c r="F763" s="4"/>
      <c r="G763" s="5"/>
    </row>
    <row r="764" spans="2:7" ht="15.75" customHeight="1">
      <c r="B764" s="4"/>
      <c r="C764" s="4"/>
      <c r="E764" s="4"/>
      <c r="F764" s="4"/>
      <c r="G764" s="5"/>
    </row>
    <row r="765" spans="2:7" ht="15.75" customHeight="1">
      <c r="B765" s="4"/>
      <c r="C765" s="4"/>
      <c r="E765" s="4"/>
      <c r="F765" s="4"/>
      <c r="G765" s="5"/>
    </row>
    <row r="766" spans="2:7" ht="15.75" customHeight="1">
      <c r="B766" s="4"/>
      <c r="C766" s="4"/>
      <c r="E766" s="4"/>
      <c r="F766" s="4"/>
      <c r="G766" s="5"/>
    </row>
    <row r="767" spans="2:7" ht="15.75" customHeight="1">
      <c r="B767" s="4"/>
      <c r="C767" s="4"/>
      <c r="E767" s="4"/>
      <c r="F767" s="4"/>
      <c r="G767" s="5"/>
    </row>
    <row r="768" spans="2:7" ht="15.75" customHeight="1">
      <c r="B768" s="4"/>
      <c r="C768" s="4"/>
      <c r="E768" s="4"/>
      <c r="F768" s="4"/>
      <c r="G768" s="5"/>
    </row>
    <row r="769" spans="2:7" ht="15.75" customHeight="1">
      <c r="B769" s="4"/>
      <c r="C769" s="4"/>
      <c r="E769" s="4"/>
      <c r="F769" s="4"/>
      <c r="G769" s="5"/>
    </row>
    <row r="770" spans="2:7" ht="15.75" customHeight="1">
      <c r="B770" s="4"/>
      <c r="C770" s="4"/>
      <c r="E770" s="4"/>
      <c r="F770" s="4"/>
      <c r="G770" s="5"/>
    </row>
    <row r="771" spans="2:7" ht="15.75" customHeight="1">
      <c r="B771" s="4"/>
      <c r="C771" s="4"/>
      <c r="E771" s="4"/>
      <c r="F771" s="4"/>
      <c r="G771" s="5"/>
    </row>
    <row r="772" spans="2:7" ht="15.75" customHeight="1">
      <c r="B772" s="4"/>
      <c r="C772" s="4"/>
      <c r="E772" s="4"/>
      <c r="F772" s="4"/>
      <c r="G772" s="5"/>
    </row>
    <row r="773" spans="2:7" ht="15.75" customHeight="1">
      <c r="B773" s="4"/>
      <c r="C773" s="4"/>
      <c r="E773" s="4"/>
      <c r="F773" s="4"/>
      <c r="G773" s="5"/>
    </row>
    <row r="774" spans="2:7" ht="15.75" customHeight="1">
      <c r="B774" s="4"/>
      <c r="C774" s="4"/>
      <c r="E774" s="4"/>
      <c r="F774" s="4"/>
      <c r="G774" s="5"/>
    </row>
    <row r="775" spans="2:7" ht="15.75" customHeight="1">
      <c r="B775" s="4"/>
      <c r="C775" s="4"/>
      <c r="E775" s="4"/>
      <c r="F775" s="4"/>
      <c r="G775" s="5"/>
    </row>
    <row r="776" spans="2:7" ht="15.75" customHeight="1">
      <c r="B776" s="4"/>
      <c r="C776" s="4"/>
      <c r="E776" s="4"/>
      <c r="F776" s="4"/>
      <c r="G776" s="5"/>
    </row>
    <row r="777" spans="2:7" ht="15.75" customHeight="1">
      <c r="B777" s="4"/>
      <c r="C777" s="4"/>
      <c r="E777" s="4"/>
      <c r="F777" s="4"/>
      <c r="G777" s="5"/>
    </row>
    <row r="778" spans="2:7" ht="15.75" customHeight="1">
      <c r="B778" s="4"/>
      <c r="C778" s="4"/>
      <c r="E778" s="4"/>
      <c r="F778" s="4"/>
      <c r="G778" s="5"/>
    </row>
    <row r="779" spans="2:7" ht="15.75" customHeight="1">
      <c r="B779" s="4"/>
      <c r="C779" s="4"/>
      <c r="E779" s="4"/>
      <c r="F779" s="4"/>
      <c r="G779" s="5"/>
    </row>
    <row r="780" spans="2:7" ht="15.75" customHeight="1">
      <c r="B780" s="4"/>
      <c r="C780" s="4"/>
      <c r="E780" s="4"/>
      <c r="F780" s="4"/>
      <c r="G780" s="5"/>
    </row>
    <row r="781" spans="2:7" ht="15.75" customHeight="1">
      <c r="B781" s="4"/>
      <c r="C781" s="4"/>
      <c r="E781" s="4"/>
      <c r="F781" s="4"/>
      <c r="G781" s="5"/>
    </row>
    <row r="782" spans="2:7" ht="15.75" customHeight="1">
      <c r="B782" s="4"/>
      <c r="C782" s="4"/>
      <c r="E782" s="4"/>
      <c r="F782" s="4"/>
      <c r="G782" s="5"/>
    </row>
    <row r="783" spans="2:7" ht="15.75" customHeight="1">
      <c r="B783" s="4"/>
      <c r="C783" s="4"/>
      <c r="E783" s="4"/>
      <c r="F783" s="4"/>
      <c r="G783" s="5"/>
    </row>
    <row r="784" spans="2:7" ht="15.75" customHeight="1">
      <c r="B784" s="4"/>
      <c r="C784" s="4"/>
      <c r="E784" s="4"/>
      <c r="F784" s="4"/>
      <c r="G784" s="5"/>
    </row>
    <row r="785" spans="2:7" ht="15.75" customHeight="1">
      <c r="B785" s="4"/>
      <c r="C785" s="4"/>
      <c r="E785" s="4"/>
      <c r="F785" s="4"/>
      <c r="G785" s="5"/>
    </row>
    <row r="786" spans="2:7" ht="15.75" customHeight="1">
      <c r="B786" s="4"/>
      <c r="C786" s="4"/>
      <c r="E786" s="4"/>
      <c r="F786" s="4"/>
      <c r="G786" s="5"/>
    </row>
    <row r="787" spans="2:7" ht="15.75" customHeight="1">
      <c r="B787" s="4"/>
      <c r="C787" s="4"/>
      <c r="E787" s="4"/>
      <c r="F787" s="4"/>
      <c r="G787" s="5"/>
    </row>
    <row r="788" spans="2:7" ht="15.75" customHeight="1">
      <c r="B788" s="4"/>
      <c r="C788" s="4"/>
      <c r="E788" s="4"/>
      <c r="F788" s="4"/>
      <c r="G788" s="5"/>
    </row>
    <row r="789" spans="2:7" ht="15.75" customHeight="1">
      <c r="B789" s="4"/>
      <c r="C789" s="4"/>
      <c r="E789" s="4"/>
      <c r="F789" s="4"/>
      <c r="G789" s="5"/>
    </row>
    <row r="790" spans="2:7" ht="15.75" customHeight="1">
      <c r="B790" s="4"/>
      <c r="C790" s="4"/>
      <c r="E790" s="4"/>
      <c r="F790" s="4"/>
      <c r="G790" s="5"/>
    </row>
    <row r="791" spans="2:7" ht="15.75" customHeight="1">
      <c r="B791" s="4"/>
      <c r="C791" s="4"/>
      <c r="E791" s="4"/>
      <c r="F791" s="4"/>
      <c r="G791" s="5"/>
    </row>
    <row r="792" spans="2:7" ht="15.75" customHeight="1">
      <c r="B792" s="4"/>
      <c r="C792" s="4"/>
      <c r="E792" s="4"/>
      <c r="F792" s="4"/>
      <c r="G792" s="5"/>
    </row>
    <row r="793" spans="2:7" ht="15.75" customHeight="1">
      <c r="B793" s="4"/>
      <c r="C793" s="4"/>
      <c r="E793" s="4"/>
      <c r="F793" s="4"/>
      <c r="G793" s="5"/>
    </row>
    <row r="794" spans="2:7" ht="15.75" customHeight="1">
      <c r="B794" s="4"/>
      <c r="C794" s="4"/>
      <c r="E794" s="4"/>
      <c r="F794" s="4"/>
      <c r="G794" s="5"/>
    </row>
    <row r="795" spans="2:7" ht="15.75" customHeight="1">
      <c r="B795" s="4"/>
      <c r="C795" s="4"/>
      <c r="E795" s="4"/>
      <c r="F795" s="4"/>
      <c r="G795" s="5"/>
    </row>
    <row r="796" spans="2:7" ht="15.75" customHeight="1">
      <c r="B796" s="4"/>
      <c r="C796" s="4"/>
      <c r="E796" s="4"/>
      <c r="F796" s="4"/>
      <c r="G796" s="5"/>
    </row>
    <row r="797" spans="2:7" ht="15.75" customHeight="1">
      <c r="B797" s="4"/>
      <c r="C797" s="4"/>
      <c r="E797" s="4"/>
      <c r="F797" s="4"/>
      <c r="G797" s="5"/>
    </row>
    <row r="798" spans="2:7" ht="15.75" customHeight="1">
      <c r="B798" s="4"/>
      <c r="C798" s="4"/>
      <c r="E798" s="4"/>
      <c r="F798" s="4"/>
      <c r="G798" s="5"/>
    </row>
    <row r="799" spans="2:7" ht="15.75" customHeight="1">
      <c r="B799" s="4"/>
      <c r="C799" s="4"/>
      <c r="E799" s="4"/>
      <c r="F799" s="4"/>
      <c r="G799" s="5"/>
    </row>
    <row r="800" spans="2:7" ht="15.75" customHeight="1">
      <c r="B800" s="4"/>
      <c r="C800" s="4"/>
      <c r="E800" s="4"/>
      <c r="F800" s="4"/>
      <c r="G800" s="5"/>
    </row>
    <row r="801" spans="2:7" ht="15.75" customHeight="1">
      <c r="B801" s="4"/>
      <c r="C801" s="4"/>
      <c r="E801" s="4"/>
      <c r="F801" s="4"/>
      <c r="G801" s="5"/>
    </row>
    <row r="802" spans="2:7" ht="15.75" customHeight="1">
      <c r="B802" s="4"/>
      <c r="C802" s="4"/>
      <c r="E802" s="4"/>
      <c r="F802" s="4"/>
      <c r="G802" s="5"/>
    </row>
    <row r="803" spans="2:7" ht="15.75" customHeight="1">
      <c r="B803" s="4"/>
      <c r="C803" s="4"/>
      <c r="E803" s="4"/>
      <c r="F803" s="4"/>
      <c r="G803" s="5"/>
    </row>
    <row r="804" spans="2:7" ht="15.75" customHeight="1">
      <c r="B804" s="4"/>
      <c r="C804" s="4"/>
      <c r="E804" s="4"/>
      <c r="F804" s="4"/>
      <c r="G804" s="5"/>
    </row>
    <row r="805" spans="2:7" ht="15.75" customHeight="1">
      <c r="B805" s="4"/>
      <c r="C805" s="4"/>
      <c r="E805" s="4"/>
      <c r="F805" s="4"/>
      <c r="G805" s="5"/>
    </row>
    <row r="806" spans="2:7" ht="15.75" customHeight="1">
      <c r="B806" s="4"/>
      <c r="C806" s="4"/>
      <c r="E806" s="4"/>
      <c r="F806" s="4"/>
      <c r="G806" s="5"/>
    </row>
    <row r="807" spans="2:7" ht="15.75" customHeight="1">
      <c r="B807" s="4"/>
      <c r="C807" s="4"/>
      <c r="E807" s="4"/>
      <c r="F807" s="4"/>
      <c r="G807" s="5"/>
    </row>
    <row r="808" spans="2:7" ht="15.75" customHeight="1">
      <c r="B808" s="4"/>
      <c r="C808" s="4"/>
      <c r="E808" s="4"/>
      <c r="F808" s="4"/>
      <c r="G808" s="5"/>
    </row>
    <row r="809" spans="2:7" ht="15.75" customHeight="1">
      <c r="B809" s="4"/>
      <c r="C809" s="4"/>
      <c r="E809" s="4"/>
      <c r="F809" s="4"/>
      <c r="G809" s="5"/>
    </row>
    <row r="810" spans="2:7" ht="15.75" customHeight="1">
      <c r="B810" s="4"/>
      <c r="C810" s="4"/>
      <c r="E810" s="4"/>
      <c r="F810" s="4"/>
      <c r="G810" s="5"/>
    </row>
    <row r="811" spans="2:7" ht="15.75" customHeight="1">
      <c r="B811" s="4"/>
      <c r="C811" s="4"/>
      <c r="E811" s="4"/>
      <c r="F811" s="4"/>
      <c r="G811" s="5"/>
    </row>
    <row r="812" spans="2:7" ht="15.75" customHeight="1">
      <c r="B812" s="4"/>
      <c r="C812" s="4"/>
      <c r="E812" s="4"/>
      <c r="F812" s="4"/>
      <c r="G812" s="5"/>
    </row>
    <row r="813" spans="2:7" ht="15.75" customHeight="1">
      <c r="B813" s="4"/>
      <c r="C813" s="4"/>
      <c r="E813" s="4"/>
      <c r="F813" s="4"/>
      <c r="G813" s="5"/>
    </row>
    <row r="814" spans="2:7" ht="15.75" customHeight="1">
      <c r="B814" s="4"/>
      <c r="C814" s="4"/>
      <c r="E814" s="4"/>
      <c r="F814" s="4"/>
      <c r="G814" s="5"/>
    </row>
    <row r="815" spans="2:7" ht="15.75" customHeight="1">
      <c r="B815" s="4"/>
      <c r="C815" s="4"/>
      <c r="E815" s="4"/>
      <c r="F815" s="4"/>
      <c r="G815" s="5"/>
    </row>
    <row r="816" spans="2:7" ht="15.75" customHeight="1">
      <c r="B816" s="4"/>
      <c r="C816" s="4"/>
      <c r="E816" s="4"/>
      <c r="F816" s="4"/>
      <c r="G816" s="5"/>
    </row>
    <row r="817" spans="2:7" ht="15.75" customHeight="1">
      <c r="B817" s="4"/>
      <c r="C817" s="4"/>
      <c r="E817" s="4"/>
      <c r="F817" s="4"/>
      <c r="G817" s="5"/>
    </row>
    <row r="818" spans="2:7" ht="15.75" customHeight="1">
      <c r="B818" s="4"/>
      <c r="C818" s="4"/>
      <c r="E818" s="4"/>
      <c r="F818" s="4"/>
      <c r="G818" s="5"/>
    </row>
    <row r="819" spans="2:7" ht="15.75" customHeight="1">
      <c r="B819" s="4"/>
      <c r="C819" s="4"/>
      <c r="E819" s="4"/>
      <c r="F819" s="4"/>
      <c r="G819" s="5"/>
    </row>
    <row r="820" spans="2:7" ht="15.75" customHeight="1">
      <c r="B820" s="4"/>
      <c r="C820" s="4"/>
      <c r="E820" s="4"/>
      <c r="F820" s="4"/>
      <c r="G820" s="5"/>
    </row>
    <row r="821" spans="2:7" ht="15.75" customHeight="1">
      <c r="B821" s="4"/>
      <c r="C821" s="4"/>
      <c r="E821" s="4"/>
      <c r="F821" s="4"/>
      <c r="G821" s="5"/>
    </row>
    <row r="822" spans="2:7" ht="15.75" customHeight="1">
      <c r="B822" s="4"/>
      <c r="C822" s="4"/>
      <c r="E822" s="4"/>
      <c r="F822" s="4"/>
      <c r="G822" s="5"/>
    </row>
    <row r="823" spans="2:7" ht="15.75" customHeight="1">
      <c r="B823" s="4"/>
      <c r="C823" s="4"/>
      <c r="E823" s="4"/>
      <c r="F823" s="4"/>
      <c r="G823" s="5"/>
    </row>
    <row r="824" spans="2:7" ht="15.75" customHeight="1">
      <c r="B824" s="4"/>
      <c r="C824" s="4"/>
      <c r="E824" s="4"/>
      <c r="F824" s="4"/>
      <c r="G824" s="5"/>
    </row>
    <row r="825" spans="2:7" ht="15.75" customHeight="1">
      <c r="B825" s="4"/>
      <c r="C825" s="4"/>
      <c r="E825" s="4"/>
      <c r="F825" s="4"/>
      <c r="G825" s="5"/>
    </row>
    <row r="826" spans="2:7" ht="15.75" customHeight="1">
      <c r="B826" s="4"/>
      <c r="C826" s="4"/>
      <c r="E826" s="4"/>
      <c r="F826" s="4"/>
      <c r="G826" s="5"/>
    </row>
    <row r="827" spans="2:7" ht="15.75" customHeight="1">
      <c r="B827" s="4"/>
      <c r="C827" s="4"/>
      <c r="E827" s="4"/>
      <c r="F827" s="4"/>
      <c r="G827" s="5"/>
    </row>
    <row r="828" spans="2:7" ht="15.75" customHeight="1">
      <c r="B828" s="4"/>
      <c r="C828" s="4"/>
      <c r="E828" s="4"/>
      <c r="F828" s="4"/>
      <c r="G828" s="5"/>
    </row>
    <row r="829" spans="2:7" ht="15.75" customHeight="1">
      <c r="B829" s="4"/>
      <c r="C829" s="4"/>
      <c r="E829" s="4"/>
      <c r="F829" s="4"/>
      <c r="G829" s="5"/>
    </row>
    <row r="830" spans="2:7" ht="15.75" customHeight="1">
      <c r="B830" s="4"/>
      <c r="C830" s="4"/>
      <c r="E830" s="4"/>
      <c r="F830" s="4"/>
      <c r="G830" s="5"/>
    </row>
    <row r="831" spans="2:7" ht="15.75" customHeight="1">
      <c r="B831" s="4"/>
      <c r="C831" s="4"/>
      <c r="E831" s="4"/>
      <c r="F831" s="4"/>
      <c r="G831" s="5"/>
    </row>
    <row r="832" spans="2:7" ht="15.75" customHeight="1">
      <c r="B832" s="4"/>
      <c r="C832" s="4"/>
      <c r="E832" s="4"/>
      <c r="F832" s="4"/>
      <c r="G832" s="5"/>
    </row>
    <row r="833" spans="2:7" ht="15.75" customHeight="1">
      <c r="B833" s="4"/>
      <c r="C833" s="4"/>
      <c r="E833" s="4"/>
      <c r="F833" s="4"/>
      <c r="G833" s="5"/>
    </row>
    <row r="834" spans="2:7" ht="15.75" customHeight="1">
      <c r="B834" s="4"/>
      <c r="C834" s="4"/>
      <c r="E834" s="4"/>
      <c r="F834" s="4"/>
      <c r="G834" s="5"/>
    </row>
    <row r="835" spans="2:7" ht="15.75" customHeight="1">
      <c r="B835" s="4"/>
      <c r="C835" s="4"/>
      <c r="E835" s="4"/>
      <c r="F835" s="4"/>
      <c r="G835" s="5"/>
    </row>
    <row r="836" spans="2:7" ht="15.75" customHeight="1">
      <c r="B836" s="4"/>
      <c r="C836" s="4"/>
      <c r="E836" s="4"/>
      <c r="F836" s="4"/>
      <c r="G836" s="5"/>
    </row>
    <row r="837" spans="2:7" ht="15.75" customHeight="1">
      <c r="B837" s="4"/>
      <c r="C837" s="4"/>
      <c r="E837" s="4"/>
      <c r="F837" s="4"/>
      <c r="G837" s="5"/>
    </row>
    <row r="838" spans="2:7" ht="15.75" customHeight="1">
      <c r="B838" s="4"/>
      <c r="C838" s="4"/>
      <c r="E838" s="4"/>
      <c r="F838" s="4"/>
      <c r="G838" s="5"/>
    </row>
    <row r="839" spans="2:7" ht="15.75" customHeight="1">
      <c r="B839" s="4"/>
      <c r="C839" s="4"/>
      <c r="E839" s="4"/>
      <c r="F839" s="4"/>
      <c r="G839" s="5"/>
    </row>
    <row r="840" spans="2:7" ht="15.75" customHeight="1">
      <c r="B840" s="4"/>
      <c r="C840" s="4"/>
      <c r="E840" s="4"/>
      <c r="F840" s="4"/>
      <c r="G840" s="5"/>
    </row>
    <row r="841" spans="2:7" ht="15.75" customHeight="1">
      <c r="B841" s="4"/>
      <c r="C841" s="4"/>
      <c r="E841" s="4"/>
      <c r="F841" s="4"/>
      <c r="G841" s="5"/>
    </row>
    <row r="842" spans="2:7" ht="15.75" customHeight="1">
      <c r="B842" s="4"/>
      <c r="C842" s="4"/>
      <c r="E842" s="4"/>
      <c r="F842" s="4"/>
      <c r="G842" s="5"/>
    </row>
    <row r="843" spans="2:7" ht="15.75" customHeight="1">
      <c r="B843" s="4"/>
      <c r="C843" s="4"/>
      <c r="E843" s="4"/>
      <c r="F843" s="4"/>
      <c r="G843" s="5"/>
    </row>
    <row r="844" spans="2:7" ht="15.75" customHeight="1">
      <c r="B844" s="4"/>
      <c r="C844" s="4"/>
      <c r="E844" s="4"/>
      <c r="F844" s="4"/>
      <c r="G844" s="5"/>
    </row>
    <row r="845" spans="2:7" ht="15.75" customHeight="1">
      <c r="B845" s="4"/>
      <c r="C845" s="4"/>
      <c r="E845" s="4"/>
      <c r="F845" s="4"/>
      <c r="G845" s="5"/>
    </row>
    <row r="846" spans="2:7" ht="15.75" customHeight="1">
      <c r="B846" s="4"/>
      <c r="C846" s="4"/>
      <c r="E846" s="4"/>
      <c r="F846" s="4"/>
      <c r="G846" s="5"/>
    </row>
    <row r="847" spans="2:7" ht="15.75" customHeight="1">
      <c r="B847" s="4"/>
      <c r="C847" s="4"/>
      <c r="E847" s="4"/>
      <c r="F847" s="4"/>
      <c r="G847" s="5"/>
    </row>
    <row r="848" spans="2:7" ht="15.75" customHeight="1">
      <c r="B848" s="4"/>
      <c r="C848" s="4"/>
      <c r="E848" s="4"/>
      <c r="F848" s="4"/>
      <c r="G848" s="5"/>
    </row>
    <row r="849" spans="2:7" ht="15.75" customHeight="1">
      <c r="B849" s="4"/>
      <c r="C849" s="4"/>
      <c r="E849" s="4"/>
      <c r="F849" s="4"/>
      <c r="G849" s="5"/>
    </row>
    <row r="850" spans="2:7" ht="15.75" customHeight="1">
      <c r="B850" s="4"/>
      <c r="C850" s="4"/>
      <c r="E850" s="4"/>
      <c r="F850" s="4"/>
      <c r="G850" s="5"/>
    </row>
    <row r="851" spans="2:7" ht="15.75" customHeight="1">
      <c r="B851" s="4"/>
      <c r="C851" s="4"/>
      <c r="E851" s="4"/>
      <c r="F851" s="4"/>
      <c r="G851" s="5"/>
    </row>
    <row r="852" spans="2:7" ht="15.75" customHeight="1">
      <c r="B852" s="4"/>
      <c r="C852" s="4"/>
      <c r="E852" s="4"/>
      <c r="F852" s="4"/>
      <c r="G852" s="5"/>
    </row>
    <row r="853" spans="2:7" ht="15.75" customHeight="1">
      <c r="B853" s="4"/>
      <c r="C853" s="4"/>
      <c r="E853" s="4"/>
      <c r="F853" s="4"/>
      <c r="G853" s="5"/>
    </row>
    <row r="854" spans="2:7" ht="15.75" customHeight="1">
      <c r="B854" s="4"/>
      <c r="C854" s="4"/>
      <c r="E854" s="4"/>
      <c r="F854" s="4"/>
      <c r="G854" s="5"/>
    </row>
    <row r="855" spans="2:7" ht="15.75" customHeight="1">
      <c r="B855" s="4"/>
      <c r="C855" s="4"/>
      <c r="E855" s="4"/>
      <c r="F855" s="4"/>
      <c r="G855" s="5"/>
    </row>
    <row r="856" spans="2:7" ht="15.75" customHeight="1">
      <c r="B856" s="4"/>
      <c r="C856" s="4"/>
      <c r="E856" s="4"/>
      <c r="F856" s="4"/>
      <c r="G856" s="5"/>
    </row>
    <row r="857" spans="2:7" ht="15.75" customHeight="1">
      <c r="B857" s="4"/>
      <c r="C857" s="4"/>
      <c r="E857" s="4"/>
      <c r="F857" s="4"/>
      <c r="G857" s="5"/>
    </row>
    <row r="858" spans="2:7" ht="15.75" customHeight="1">
      <c r="B858" s="4"/>
      <c r="C858" s="4"/>
      <c r="E858" s="4"/>
      <c r="F858" s="4"/>
      <c r="G858" s="5"/>
    </row>
    <row r="859" spans="2:7" ht="15.75" customHeight="1">
      <c r="B859" s="4"/>
      <c r="C859" s="4"/>
      <c r="E859" s="4"/>
      <c r="F859" s="4"/>
      <c r="G859" s="5"/>
    </row>
    <row r="860" spans="2:7" ht="15.75" customHeight="1">
      <c r="B860" s="4"/>
      <c r="C860" s="4"/>
      <c r="E860" s="4"/>
      <c r="F860" s="4"/>
      <c r="G860" s="5"/>
    </row>
    <row r="861" spans="2:7" ht="15.75" customHeight="1">
      <c r="B861" s="4"/>
      <c r="C861" s="4"/>
      <c r="E861" s="4"/>
      <c r="F861" s="4"/>
      <c r="G861" s="5"/>
    </row>
    <row r="862" spans="2:7" ht="15.75" customHeight="1">
      <c r="B862" s="4"/>
      <c r="C862" s="4"/>
      <c r="E862" s="4"/>
      <c r="F862" s="4"/>
      <c r="G862" s="5"/>
    </row>
    <row r="863" spans="2:7" ht="15.75" customHeight="1">
      <c r="B863" s="4"/>
      <c r="C863" s="4"/>
      <c r="E863" s="4"/>
      <c r="F863" s="4"/>
      <c r="G863" s="5"/>
    </row>
    <row r="864" spans="2:7" ht="15.75" customHeight="1">
      <c r="B864" s="4"/>
      <c r="C864" s="4"/>
      <c r="E864" s="4"/>
      <c r="F864" s="4"/>
      <c r="G864" s="5"/>
    </row>
    <row r="865" spans="2:7" ht="15.75" customHeight="1">
      <c r="B865" s="4"/>
      <c r="C865" s="4"/>
      <c r="E865" s="4"/>
      <c r="F865" s="4"/>
      <c r="G865" s="5"/>
    </row>
    <row r="866" spans="2:7" ht="15.75" customHeight="1">
      <c r="B866" s="4"/>
      <c r="C866" s="4"/>
      <c r="E866" s="4"/>
      <c r="F866" s="4"/>
      <c r="G866" s="5"/>
    </row>
    <row r="867" spans="2:7" ht="15.75" customHeight="1">
      <c r="B867" s="4"/>
      <c r="C867" s="4"/>
      <c r="E867" s="4"/>
      <c r="F867" s="4"/>
      <c r="G867" s="5"/>
    </row>
    <row r="868" spans="2:7" ht="15.75" customHeight="1">
      <c r="B868" s="4"/>
      <c r="C868" s="4"/>
      <c r="E868" s="4"/>
      <c r="F868" s="4"/>
      <c r="G868" s="5"/>
    </row>
    <row r="869" spans="2:7" ht="15.75" customHeight="1">
      <c r="B869" s="4"/>
      <c r="C869" s="4"/>
      <c r="E869" s="4"/>
      <c r="F869" s="4"/>
      <c r="G869" s="5"/>
    </row>
    <row r="870" spans="2:7" ht="15.75" customHeight="1">
      <c r="B870" s="4"/>
      <c r="C870" s="4"/>
      <c r="E870" s="4"/>
      <c r="F870" s="4"/>
      <c r="G870" s="5"/>
    </row>
    <row r="871" spans="2:7" ht="15.75" customHeight="1">
      <c r="B871" s="4"/>
      <c r="C871" s="4"/>
      <c r="E871" s="4"/>
      <c r="F871" s="4"/>
      <c r="G871" s="5"/>
    </row>
    <row r="872" spans="2:7" ht="15.75" customHeight="1">
      <c r="B872" s="4"/>
      <c r="C872" s="4"/>
      <c r="E872" s="4"/>
      <c r="F872" s="4"/>
      <c r="G872" s="5"/>
    </row>
    <row r="873" spans="2:7" ht="15.75" customHeight="1">
      <c r="B873" s="4"/>
      <c r="C873" s="4"/>
      <c r="E873" s="4"/>
      <c r="F873" s="4"/>
      <c r="G873" s="5"/>
    </row>
    <row r="874" spans="2:7" ht="15.75" customHeight="1">
      <c r="B874" s="4"/>
      <c r="C874" s="4"/>
      <c r="E874" s="4"/>
      <c r="F874" s="4"/>
      <c r="G874" s="5"/>
    </row>
    <row r="875" spans="2:7" ht="15.75" customHeight="1">
      <c r="B875" s="4"/>
      <c r="C875" s="4"/>
      <c r="E875" s="4"/>
      <c r="F875" s="4"/>
      <c r="G875" s="5"/>
    </row>
    <row r="876" spans="2:7" ht="15.75" customHeight="1">
      <c r="B876" s="4"/>
      <c r="C876" s="4"/>
      <c r="E876" s="4"/>
      <c r="F876" s="4"/>
      <c r="G876" s="5"/>
    </row>
    <row r="877" spans="2:7" ht="15.75" customHeight="1">
      <c r="B877" s="4"/>
      <c r="C877" s="4"/>
      <c r="E877" s="4"/>
      <c r="F877" s="4"/>
      <c r="G877" s="5"/>
    </row>
    <row r="878" spans="2:7" ht="15.75" customHeight="1">
      <c r="B878" s="4"/>
      <c r="C878" s="4"/>
      <c r="E878" s="4"/>
      <c r="F878" s="4"/>
      <c r="G878" s="5"/>
    </row>
    <row r="879" spans="2:7" ht="15.75" customHeight="1">
      <c r="B879" s="4"/>
      <c r="C879" s="4"/>
      <c r="E879" s="4"/>
      <c r="F879" s="4"/>
      <c r="G879" s="5"/>
    </row>
    <row r="880" spans="2:7" ht="15.75" customHeight="1">
      <c r="B880" s="4"/>
      <c r="C880" s="4"/>
      <c r="E880" s="4"/>
      <c r="F880" s="4"/>
      <c r="G880" s="5"/>
    </row>
    <row r="881" spans="2:7" ht="15.75" customHeight="1">
      <c r="B881" s="4"/>
      <c r="C881" s="4"/>
      <c r="E881" s="4"/>
      <c r="F881" s="4"/>
      <c r="G881" s="5"/>
    </row>
    <row r="882" spans="2:7" ht="15.75" customHeight="1">
      <c r="B882" s="4"/>
      <c r="C882" s="4"/>
      <c r="E882" s="4"/>
      <c r="F882" s="4"/>
      <c r="G882" s="5"/>
    </row>
    <row r="883" spans="2:7" ht="15.75" customHeight="1">
      <c r="B883" s="4"/>
      <c r="C883" s="4"/>
      <c r="E883" s="4"/>
      <c r="F883" s="4"/>
      <c r="G883" s="5"/>
    </row>
    <row r="884" spans="2:7" ht="15.75" customHeight="1">
      <c r="B884" s="4"/>
      <c r="C884" s="4"/>
      <c r="E884" s="4"/>
      <c r="F884" s="4"/>
      <c r="G884" s="5"/>
    </row>
    <row r="885" spans="2:7" ht="15.75" customHeight="1">
      <c r="B885" s="4"/>
      <c r="C885" s="4"/>
      <c r="E885" s="4"/>
      <c r="F885" s="4"/>
      <c r="G885" s="5"/>
    </row>
    <row r="886" spans="2:7" ht="15.75" customHeight="1">
      <c r="B886" s="4"/>
      <c r="C886" s="4"/>
      <c r="E886" s="4"/>
      <c r="F886" s="4"/>
      <c r="G886" s="5"/>
    </row>
    <row r="887" spans="2:7" ht="15.75" customHeight="1">
      <c r="B887" s="4"/>
      <c r="C887" s="4"/>
      <c r="E887" s="4"/>
      <c r="F887" s="4"/>
      <c r="G887" s="5"/>
    </row>
    <row r="888" spans="2:7" ht="15.75" customHeight="1">
      <c r="B888" s="4"/>
      <c r="C888" s="4"/>
      <c r="E888" s="4"/>
      <c r="F888" s="4"/>
      <c r="G888" s="5"/>
    </row>
    <row r="889" spans="2:7" ht="15.75" customHeight="1">
      <c r="B889" s="4"/>
      <c r="C889" s="4"/>
      <c r="E889" s="4"/>
      <c r="F889" s="4"/>
      <c r="G889" s="5"/>
    </row>
    <row r="890" spans="2:7" ht="15.75" customHeight="1">
      <c r="B890" s="4"/>
      <c r="C890" s="4"/>
      <c r="E890" s="4"/>
      <c r="F890" s="4"/>
      <c r="G890" s="5"/>
    </row>
    <row r="891" spans="2:7" ht="15.75" customHeight="1">
      <c r="B891" s="4"/>
      <c r="C891" s="4"/>
      <c r="E891" s="4"/>
      <c r="F891" s="4"/>
      <c r="G891" s="5"/>
    </row>
    <row r="892" spans="2:7" ht="15.75" customHeight="1">
      <c r="B892" s="4"/>
      <c r="C892" s="4"/>
      <c r="E892" s="4"/>
      <c r="F892" s="4"/>
      <c r="G892" s="5"/>
    </row>
    <row r="893" spans="2:7" ht="15.75" customHeight="1">
      <c r="B893" s="4"/>
      <c r="C893" s="4"/>
      <c r="E893" s="4"/>
      <c r="F893" s="4"/>
      <c r="G893" s="5"/>
    </row>
    <row r="894" spans="2:7" ht="15.75" customHeight="1">
      <c r="B894" s="4"/>
      <c r="C894" s="4"/>
      <c r="E894" s="4"/>
      <c r="F894" s="4"/>
      <c r="G894" s="5"/>
    </row>
    <row r="895" spans="2:7" ht="15.75" customHeight="1">
      <c r="B895" s="4"/>
      <c r="C895" s="4"/>
      <c r="E895" s="4"/>
      <c r="F895" s="4"/>
      <c r="G895" s="5"/>
    </row>
    <row r="896" spans="2:7" ht="15.75" customHeight="1">
      <c r="B896" s="4"/>
      <c r="C896" s="4"/>
      <c r="E896" s="4"/>
      <c r="F896" s="4"/>
      <c r="G896" s="5"/>
    </row>
    <row r="897" spans="2:7" ht="15.75" customHeight="1">
      <c r="B897" s="4"/>
      <c r="C897" s="4"/>
      <c r="E897" s="4"/>
      <c r="F897" s="4"/>
      <c r="G897" s="5"/>
    </row>
    <row r="898" spans="2:7" ht="15.75" customHeight="1">
      <c r="B898" s="4"/>
      <c r="C898" s="4"/>
      <c r="E898" s="4"/>
      <c r="F898" s="4"/>
      <c r="G898" s="5"/>
    </row>
    <row r="899" spans="2:7" ht="15.75" customHeight="1">
      <c r="B899" s="4"/>
      <c r="C899" s="4"/>
      <c r="E899" s="4"/>
      <c r="F899" s="4"/>
      <c r="G899" s="5"/>
    </row>
    <row r="900" spans="2:7" ht="15.75" customHeight="1">
      <c r="B900" s="4"/>
      <c r="C900" s="4"/>
      <c r="E900" s="4"/>
      <c r="F900" s="4"/>
      <c r="G900" s="5"/>
    </row>
    <row r="901" spans="2:7" ht="15.75" customHeight="1">
      <c r="B901" s="4"/>
      <c r="C901" s="4"/>
      <c r="E901" s="4"/>
      <c r="F901" s="4"/>
      <c r="G901" s="5"/>
    </row>
    <row r="902" spans="2:7" ht="15.75" customHeight="1">
      <c r="B902" s="4"/>
      <c r="C902" s="4"/>
      <c r="E902" s="4"/>
      <c r="F902" s="4"/>
      <c r="G902" s="5"/>
    </row>
    <row r="903" spans="2:7" ht="15.75" customHeight="1">
      <c r="B903" s="4"/>
      <c r="C903" s="4"/>
      <c r="E903" s="4"/>
      <c r="F903" s="4"/>
      <c r="G903" s="5"/>
    </row>
    <row r="904" spans="2:7" ht="15.75" customHeight="1">
      <c r="B904" s="4"/>
      <c r="C904" s="4"/>
      <c r="E904" s="4"/>
      <c r="F904" s="4"/>
      <c r="G904" s="5"/>
    </row>
    <row r="905" spans="2:7" ht="15.75" customHeight="1">
      <c r="B905" s="4"/>
      <c r="C905" s="4"/>
      <c r="E905" s="4"/>
      <c r="F905" s="4"/>
      <c r="G905" s="5"/>
    </row>
    <row r="906" spans="2:7" ht="15.75" customHeight="1">
      <c r="B906" s="4"/>
      <c r="C906" s="4"/>
      <c r="E906" s="4"/>
      <c r="F906" s="4"/>
      <c r="G906" s="5"/>
    </row>
    <row r="907" spans="2:7" ht="15.75" customHeight="1">
      <c r="B907" s="4"/>
      <c r="C907" s="4"/>
      <c r="E907" s="4"/>
      <c r="F907" s="4"/>
      <c r="G907" s="5"/>
    </row>
    <row r="908" spans="2:7" ht="15.75" customHeight="1">
      <c r="B908" s="4"/>
      <c r="C908" s="4"/>
      <c r="E908" s="4"/>
      <c r="F908" s="4"/>
      <c r="G908" s="5"/>
    </row>
    <row r="909" spans="2:7" ht="15.75" customHeight="1">
      <c r="B909" s="4"/>
      <c r="C909" s="4"/>
      <c r="E909" s="4"/>
      <c r="F909" s="4"/>
      <c r="G909" s="5"/>
    </row>
    <row r="910" spans="2:7" ht="15.75" customHeight="1">
      <c r="B910" s="4"/>
      <c r="C910" s="4"/>
      <c r="E910" s="4"/>
      <c r="F910" s="4"/>
      <c r="G910" s="5"/>
    </row>
    <row r="911" spans="2:7" ht="15.75" customHeight="1">
      <c r="B911" s="4"/>
      <c r="C911" s="4"/>
      <c r="E911" s="4"/>
      <c r="F911" s="4"/>
      <c r="G911" s="5"/>
    </row>
    <row r="912" spans="2:7" ht="15.75" customHeight="1">
      <c r="B912" s="4"/>
      <c r="C912" s="4"/>
      <c r="E912" s="4"/>
      <c r="F912" s="4"/>
      <c r="G912" s="5"/>
    </row>
    <row r="913" spans="2:7" ht="15.75" customHeight="1">
      <c r="B913" s="4"/>
      <c r="C913" s="4"/>
      <c r="E913" s="4"/>
      <c r="F913" s="4"/>
      <c r="G913" s="5"/>
    </row>
    <row r="914" spans="2:7" ht="15.75" customHeight="1">
      <c r="B914" s="4"/>
      <c r="C914" s="4"/>
      <c r="E914" s="4"/>
      <c r="F914" s="4"/>
      <c r="G914" s="5"/>
    </row>
    <row r="915" spans="2:7" ht="15.75" customHeight="1">
      <c r="B915" s="4"/>
      <c r="C915" s="4"/>
      <c r="E915" s="4"/>
      <c r="F915" s="4"/>
      <c r="G915" s="5"/>
    </row>
    <row r="916" spans="2:7" ht="15.75" customHeight="1">
      <c r="B916" s="4"/>
      <c r="C916" s="4"/>
      <c r="E916" s="4"/>
      <c r="F916" s="4"/>
      <c r="G916" s="5"/>
    </row>
    <row r="917" spans="2:7" ht="15.75" customHeight="1">
      <c r="B917" s="4"/>
      <c r="C917" s="4"/>
      <c r="E917" s="4"/>
      <c r="F917" s="4"/>
      <c r="G917" s="5"/>
    </row>
    <row r="918" spans="2:7" ht="15.75" customHeight="1">
      <c r="B918" s="4"/>
      <c r="C918" s="4"/>
      <c r="E918" s="4"/>
      <c r="F918" s="4"/>
      <c r="G918" s="5"/>
    </row>
    <row r="919" spans="2:7" ht="15.75" customHeight="1">
      <c r="B919" s="4"/>
      <c r="C919" s="4"/>
      <c r="E919" s="4"/>
      <c r="F919" s="4"/>
      <c r="G919" s="5"/>
    </row>
    <row r="920" spans="2:7" ht="15.75" customHeight="1">
      <c r="B920" s="4"/>
      <c r="C920" s="4"/>
      <c r="E920" s="4"/>
      <c r="F920" s="4"/>
      <c r="G920" s="5"/>
    </row>
    <row r="921" spans="2:7" ht="15.75" customHeight="1">
      <c r="B921" s="4"/>
      <c r="C921" s="4"/>
      <c r="E921" s="4"/>
      <c r="F921" s="4"/>
      <c r="G921" s="5"/>
    </row>
    <row r="922" spans="2:7" ht="15.75" customHeight="1">
      <c r="B922" s="4"/>
      <c r="C922" s="4"/>
      <c r="E922" s="4"/>
      <c r="F922" s="4"/>
      <c r="G922" s="5"/>
    </row>
    <row r="923" spans="2:7" ht="15.75" customHeight="1">
      <c r="B923" s="4"/>
      <c r="C923" s="4"/>
      <c r="E923" s="4"/>
      <c r="F923" s="4"/>
      <c r="G923" s="5"/>
    </row>
    <row r="924" spans="2:7" ht="15.75" customHeight="1">
      <c r="B924" s="4"/>
      <c r="C924" s="4"/>
      <c r="E924" s="4"/>
      <c r="F924" s="4"/>
      <c r="G924" s="5"/>
    </row>
    <row r="925" spans="2:7" ht="15.75" customHeight="1">
      <c r="B925" s="4"/>
      <c r="C925" s="4"/>
      <c r="E925" s="4"/>
      <c r="F925" s="4"/>
      <c r="G925" s="5"/>
    </row>
    <row r="926" spans="2:7" ht="15.75" customHeight="1">
      <c r="B926" s="4"/>
      <c r="C926" s="4"/>
      <c r="E926" s="4"/>
      <c r="F926" s="4"/>
      <c r="G926" s="5"/>
    </row>
    <row r="927" spans="2:7" ht="15.75" customHeight="1">
      <c r="B927" s="4"/>
      <c r="C927" s="4"/>
      <c r="E927" s="4"/>
      <c r="F927" s="4"/>
      <c r="G927" s="5"/>
    </row>
    <row r="928" spans="2:7" ht="15.75" customHeight="1">
      <c r="B928" s="4"/>
      <c r="C928" s="4"/>
      <c r="E928" s="4"/>
      <c r="F928" s="4"/>
      <c r="G928" s="5"/>
    </row>
    <row r="929" spans="2:7" ht="15.75" customHeight="1">
      <c r="B929" s="4"/>
      <c r="C929" s="4"/>
      <c r="E929" s="4"/>
      <c r="F929" s="4"/>
      <c r="G929" s="5"/>
    </row>
    <row r="930" spans="2:7" ht="15.75" customHeight="1">
      <c r="B930" s="4"/>
      <c r="C930" s="4"/>
      <c r="E930" s="4"/>
      <c r="F930" s="4"/>
      <c r="G930" s="5"/>
    </row>
    <row r="931" spans="2:7" ht="15.75" customHeight="1">
      <c r="B931" s="4"/>
      <c r="C931" s="4"/>
      <c r="E931" s="4"/>
      <c r="F931" s="4"/>
      <c r="G931" s="5"/>
    </row>
    <row r="932" spans="2:7" ht="15.75" customHeight="1">
      <c r="B932" s="4"/>
      <c r="C932" s="4"/>
      <c r="E932" s="4"/>
      <c r="F932" s="4"/>
      <c r="G932" s="5"/>
    </row>
    <row r="933" spans="2:7" ht="15.75" customHeight="1">
      <c r="B933" s="4"/>
      <c r="C933" s="4"/>
      <c r="E933" s="4"/>
      <c r="F933" s="4"/>
      <c r="G933" s="5"/>
    </row>
    <row r="934" spans="2:7" ht="15.75" customHeight="1">
      <c r="B934" s="4"/>
      <c r="C934" s="4"/>
      <c r="E934" s="4"/>
      <c r="F934" s="4"/>
      <c r="G934" s="5"/>
    </row>
    <row r="935" spans="2:7" ht="15.75" customHeight="1">
      <c r="B935" s="4"/>
      <c r="C935" s="4"/>
      <c r="E935" s="4"/>
      <c r="F935" s="4"/>
      <c r="G935" s="5"/>
    </row>
    <row r="936" spans="2:7" ht="15.75" customHeight="1">
      <c r="B936" s="4"/>
      <c r="C936" s="4"/>
      <c r="E936" s="4"/>
      <c r="F936" s="4"/>
      <c r="G936" s="5"/>
    </row>
    <row r="937" spans="2:7" ht="15.75" customHeight="1">
      <c r="B937" s="4"/>
      <c r="C937" s="4"/>
      <c r="E937" s="4"/>
      <c r="F937" s="4"/>
      <c r="G937" s="5"/>
    </row>
    <row r="938" spans="2:7" ht="15.75" customHeight="1">
      <c r="B938" s="4"/>
      <c r="C938" s="4"/>
      <c r="E938" s="4"/>
      <c r="F938" s="4"/>
      <c r="G938" s="5"/>
    </row>
    <row r="939" spans="2:7" ht="15.75" customHeight="1">
      <c r="B939" s="4"/>
      <c r="C939" s="4"/>
      <c r="E939" s="4"/>
      <c r="F939" s="4"/>
      <c r="G939" s="5"/>
    </row>
    <row r="940" spans="2:7" ht="15.75" customHeight="1">
      <c r="B940" s="4"/>
      <c r="C940" s="4"/>
      <c r="E940" s="4"/>
      <c r="F940" s="4"/>
      <c r="G940" s="5"/>
    </row>
    <row r="941" spans="2:7" ht="15.75" customHeight="1">
      <c r="B941" s="4"/>
      <c r="C941" s="4"/>
      <c r="E941" s="4"/>
      <c r="F941" s="4"/>
      <c r="G941" s="5"/>
    </row>
    <row r="942" spans="2:7" ht="15.75" customHeight="1">
      <c r="B942" s="4"/>
      <c r="C942" s="4"/>
      <c r="E942" s="4"/>
      <c r="F942" s="4"/>
      <c r="G942" s="5"/>
    </row>
    <row r="943" spans="2:7" ht="15.75" customHeight="1">
      <c r="B943" s="4"/>
      <c r="C943" s="4"/>
      <c r="E943" s="4"/>
      <c r="F943" s="4"/>
      <c r="G943" s="5"/>
    </row>
    <row r="944" spans="2:7" ht="15.75" customHeight="1">
      <c r="B944" s="4"/>
      <c r="C944" s="4"/>
      <c r="E944" s="4"/>
      <c r="F944" s="4"/>
      <c r="G944" s="5"/>
    </row>
    <row r="945" spans="2:7" ht="15.75" customHeight="1">
      <c r="B945" s="4"/>
      <c r="C945" s="4"/>
      <c r="E945" s="4"/>
      <c r="F945" s="4"/>
      <c r="G945" s="5"/>
    </row>
    <row r="946" spans="2:7" ht="15.75" customHeight="1">
      <c r="B946" s="4"/>
      <c r="C946" s="4"/>
      <c r="E946" s="4"/>
      <c r="F946" s="4"/>
      <c r="G946" s="5"/>
    </row>
    <row r="947" spans="2:7" ht="15.75" customHeight="1">
      <c r="B947" s="4"/>
      <c r="C947" s="4"/>
      <c r="E947" s="4"/>
      <c r="F947" s="4"/>
      <c r="G947" s="5"/>
    </row>
    <row r="948" spans="2:7" ht="15.75" customHeight="1">
      <c r="B948" s="4"/>
      <c r="C948" s="4"/>
      <c r="E948" s="4"/>
      <c r="F948" s="4"/>
      <c r="G948" s="5"/>
    </row>
    <row r="949" spans="2:7" ht="15.75" customHeight="1">
      <c r="B949" s="4"/>
      <c r="C949" s="4"/>
      <c r="E949" s="4"/>
      <c r="F949" s="4"/>
      <c r="G949" s="5"/>
    </row>
    <row r="950" spans="2:7" ht="15.75" customHeight="1">
      <c r="B950" s="4"/>
      <c r="C950" s="4"/>
      <c r="E950" s="4"/>
      <c r="F950" s="4"/>
      <c r="G950" s="5"/>
    </row>
    <row r="951" spans="2:7" ht="15.75" customHeight="1">
      <c r="B951" s="4"/>
      <c r="C951" s="4"/>
      <c r="E951" s="4"/>
      <c r="F951" s="4"/>
      <c r="G951" s="5"/>
    </row>
    <row r="952" spans="2:7" ht="15.75" customHeight="1">
      <c r="B952" s="4"/>
      <c r="C952" s="4"/>
      <c r="E952" s="4"/>
      <c r="F952" s="4"/>
      <c r="G952" s="5"/>
    </row>
    <row r="953" spans="2:7" ht="15.75" customHeight="1">
      <c r="B953" s="4"/>
      <c r="C953" s="4"/>
      <c r="E953" s="4"/>
      <c r="F953" s="4"/>
      <c r="G953" s="5"/>
    </row>
    <row r="954" spans="2:7" ht="15.75" customHeight="1">
      <c r="B954" s="4"/>
      <c r="C954" s="4"/>
      <c r="E954" s="4"/>
      <c r="F954" s="4"/>
      <c r="G954" s="5"/>
    </row>
    <row r="955" spans="2:7" ht="15.75" customHeight="1">
      <c r="B955" s="4"/>
      <c r="C955" s="4"/>
      <c r="E955" s="4"/>
      <c r="F955" s="4"/>
      <c r="G955" s="5"/>
    </row>
    <row r="956" spans="2:7" ht="15.75" customHeight="1">
      <c r="B956" s="4"/>
      <c r="C956" s="4"/>
      <c r="E956" s="4"/>
      <c r="F956" s="4"/>
      <c r="G956" s="5"/>
    </row>
    <row r="957" spans="2:7" ht="15.75" customHeight="1">
      <c r="B957" s="4"/>
      <c r="C957" s="4"/>
      <c r="E957" s="4"/>
      <c r="F957" s="4"/>
      <c r="G957" s="5"/>
    </row>
    <row r="958" spans="2:7" ht="15.75" customHeight="1">
      <c r="B958" s="4"/>
      <c r="C958" s="4"/>
      <c r="E958" s="4"/>
      <c r="F958" s="4"/>
      <c r="G958" s="5"/>
    </row>
    <row r="959" spans="2:7" ht="15.75" customHeight="1">
      <c r="B959" s="4"/>
      <c r="C959" s="4"/>
      <c r="E959" s="4"/>
      <c r="F959" s="4"/>
      <c r="G959" s="5"/>
    </row>
    <row r="960" spans="2:7" ht="15.75" customHeight="1">
      <c r="B960" s="4"/>
      <c r="C960" s="4"/>
      <c r="E960" s="4"/>
      <c r="F960" s="4"/>
      <c r="G960" s="5"/>
    </row>
    <row r="961" spans="2:7" ht="15.75" customHeight="1">
      <c r="B961" s="4"/>
      <c r="C961" s="4"/>
      <c r="E961" s="4"/>
      <c r="F961" s="4"/>
      <c r="G961" s="5"/>
    </row>
    <row r="962" spans="2:7" ht="15.75" customHeight="1">
      <c r="B962" s="4"/>
      <c r="C962" s="4"/>
      <c r="E962" s="4"/>
      <c r="F962" s="4"/>
      <c r="G962" s="5"/>
    </row>
    <row r="963" spans="2:7" ht="15.75" customHeight="1">
      <c r="B963" s="4"/>
      <c r="C963" s="4"/>
      <c r="E963" s="4"/>
      <c r="F963" s="4"/>
      <c r="G963" s="5"/>
    </row>
    <row r="964" spans="2:7" ht="15.75" customHeight="1">
      <c r="B964" s="4"/>
      <c r="C964" s="4"/>
      <c r="E964" s="4"/>
      <c r="F964" s="4"/>
      <c r="G964" s="5"/>
    </row>
    <row r="965" spans="2:7" ht="15.75" customHeight="1">
      <c r="B965" s="4"/>
      <c r="C965" s="4"/>
      <c r="E965" s="4"/>
      <c r="F965" s="4"/>
      <c r="G965" s="5"/>
    </row>
    <row r="966" spans="2:7" ht="15.75" customHeight="1">
      <c r="B966" s="4"/>
      <c r="C966" s="4"/>
      <c r="E966" s="4"/>
      <c r="F966" s="4"/>
      <c r="G966" s="5"/>
    </row>
    <row r="967" spans="2:7" ht="15.75" customHeight="1">
      <c r="B967" s="4"/>
      <c r="C967" s="4"/>
      <c r="E967" s="4"/>
      <c r="F967" s="4"/>
      <c r="G967" s="5"/>
    </row>
    <row r="968" spans="2:7" ht="15.75" customHeight="1">
      <c r="B968" s="4"/>
      <c r="C968" s="4"/>
      <c r="E968" s="4"/>
      <c r="F968" s="4"/>
      <c r="G968" s="5"/>
    </row>
    <row r="969" spans="2:7" ht="15.75" customHeight="1">
      <c r="B969" s="4"/>
      <c r="C969" s="4"/>
      <c r="E969" s="4"/>
      <c r="F969" s="4"/>
      <c r="G969" s="5"/>
    </row>
    <row r="970" spans="2:7" ht="15.75" customHeight="1">
      <c r="B970" s="4"/>
      <c r="C970" s="4"/>
      <c r="E970" s="4"/>
      <c r="F970" s="4"/>
      <c r="G970" s="5"/>
    </row>
    <row r="971" spans="2:7" ht="15.75" customHeight="1">
      <c r="B971" s="4"/>
      <c r="C971" s="4"/>
      <c r="E971" s="4"/>
      <c r="F971" s="4"/>
      <c r="G971" s="5"/>
    </row>
    <row r="972" spans="2:7" ht="15.75" customHeight="1">
      <c r="B972" s="4"/>
      <c r="C972" s="4"/>
      <c r="E972" s="4"/>
      <c r="F972" s="4"/>
      <c r="G972" s="5"/>
    </row>
    <row r="973" spans="2:7" ht="15.75" customHeight="1">
      <c r="B973" s="4"/>
      <c r="C973" s="4"/>
      <c r="E973" s="4"/>
      <c r="F973" s="4"/>
      <c r="G973" s="5"/>
    </row>
    <row r="974" spans="2:7" ht="15.75" customHeight="1">
      <c r="B974" s="4"/>
      <c r="C974" s="4"/>
      <c r="E974" s="4"/>
      <c r="F974" s="4"/>
      <c r="G974" s="5"/>
    </row>
    <row r="975" spans="2:7" ht="15.75" customHeight="1">
      <c r="B975" s="4"/>
      <c r="C975" s="4"/>
      <c r="E975" s="4"/>
      <c r="F975" s="4"/>
      <c r="G975" s="5"/>
    </row>
    <row r="976" spans="2:7" ht="15.75" customHeight="1">
      <c r="B976" s="4"/>
      <c r="C976" s="4"/>
      <c r="E976" s="4"/>
      <c r="F976" s="4"/>
      <c r="G976" s="5"/>
    </row>
    <row r="977" spans="2:7" ht="15.75" customHeight="1">
      <c r="B977" s="4"/>
      <c r="C977" s="4"/>
      <c r="E977" s="4"/>
      <c r="F977" s="4"/>
      <c r="G977" s="5"/>
    </row>
    <row r="978" spans="2:7" ht="15.75" customHeight="1">
      <c r="B978" s="4"/>
      <c r="C978" s="4"/>
      <c r="E978" s="4"/>
      <c r="F978" s="4"/>
      <c r="G978" s="5"/>
    </row>
    <row r="979" spans="2:7" ht="15.75" customHeight="1">
      <c r="B979" s="4"/>
      <c r="C979" s="4"/>
      <c r="E979" s="4"/>
      <c r="F979" s="4"/>
      <c r="G979" s="5"/>
    </row>
    <row r="980" spans="2:7" ht="15.75" customHeight="1">
      <c r="B980" s="4"/>
      <c r="C980" s="4"/>
      <c r="E980" s="4"/>
      <c r="F980" s="4"/>
      <c r="G980" s="5"/>
    </row>
    <row r="981" spans="2:7" ht="15.75" customHeight="1">
      <c r="B981" s="4"/>
      <c r="C981" s="4"/>
      <c r="E981" s="4"/>
      <c r="F981" s="4"/>
      <c r="G981" s="5"/>
    </row>
    <row r="982" spans="2:7" ht="15.75" customHeight="1">
      <c r="B982" s="4"/>
      <c r="C982" s="4"/>
      <c r="E982" s="4"/>
      <c r="F982" s="4"/>
      <c r="G982" s="5"/>
    </row>
    <row r="983" spans="2:7" ht="15.75" customHeight="1">
      <c r="B983" s="4"/>
      <c r="C983" s="4"/>
      <c r="E983" s="4"/>
      <c r="F983" s="4"/>
      <c r="G983" s="5"/>
    </row>
    <row r="984" spans="2:7" ht="15.75" customHeight="1">
      <c r="B984" s="4"/>
      <c r="C984" s="4"/>
      <c r="E984" s="4"/>
      <c r="F984" s="4"/>
      <c r="G984" s="5"/>
    </row>
    <row r="985" spans="2:7" ht="15.75" customHeight="1">
      <c r="B985" s="4"/>
      <c r="C985" s="4"/>
      <c r="E985" s="4"/>
      <c r="F985" s="4"/>
      <c r="G985" s="5"/>
    </row>
    <row r="986" spans="2:7" ht="15.75" customHeight="1">
      <c r="B986" s="4"/>
      <c r="C986" s="4"/>
      <c r="E986" s="4"/>
      <c r="F986" s="4"/>
      <c r="G986" s="5"/>
    </row>
    <row r="987" spans="2:7" ht="15.75" customHeight="1">
      <c r="B987" s="4"/>
      <c r="C987" s="4"/>
      <c r="E987" s="4"/>
      <c r="F987" s="4"/>
      <c r="G987" s="5"/>
    </row>
    <row r="988" spans="2:7" ht="15.75" customHeight="1">
      <c r="B988" s="4"/>
      <c r="C988" s="4"/>
      <c r="E988" s="4"/>
      <c r="F988" s="4"/>
      <c r="G988" s="5"/>
    </row>
    <row r="989" spans="2:7" ht="15.75" customHeight="1">
      <c r="B989" s="4"/>
      <c r="C989" s="4"/>
      <c r="E989" s="4"/>
      <c r="F989" s="4"/>
      <c r="G989" s="5"/>
    </row>
    <row r="990" spans="2:7" ht="15.75" customHeight="1">
      <c r="B990" s="4"/>
      <c r="C990" s="4"/>
      <c r="E990" s="4"/>
      <c r="F990" s="4"/>
      <c r="G990" s="5"/>
    </row>
    <row r="991" spans="2:7" ht="15.75" customHeight="1">
      <c r="B991" s="4"/>
      <c r="C991" s="4"/>
      <c r="E991" s="4"/>
      <c r="F991" s="4"/>
      <c r="G991" s="5"/>
    </row>
    <row r="992" spans="2:7" ht="15.75" customHeight="1">
      <c r="B992" s="4"/>
      <c r="C992" s="4"/>
      <c r="E992" s="4"/>
      <c r="F992" s="4"/>
      <c r="G992" s="5"/>
    </row>
    <row r="993" spans="2:7" ht="15.75" customHeight="1">
      <c r="B993" s="4"/>
      <c r="C993" s="4"/>
      <c r="E993" s="4"/>
      <c r="F993" s="4"/>
      <c r="G993" s="5"/>
    </row>
    <row r="994" spans="2:7" ht="15.75" customHeight="1">
      <c r="B994" s="4"/>
      <c r="C994" s="4"/>
      <c r="E994" s="4"/>
      <c r="F994" s="4"/>
      <c r="G994" s="5"/>
    </row>
    <row r="995" spans="2:7" ht="15.75" customHeight="1">
      <c r="B995" s="4"/>
      <c r="C995" s="4"/>
      <c r="E995" s="4"/>
      <c r="F995" s="4"/>
      <c r="G995" s="5"/>
    </row>
    <row r="996" spans="2:7" ht="15.75" customHeight="1">
      <c r="B996" s="4"/>
      <c r="C996" s="4"/>
      <c r="E996" s="4"/>
      <c r="F996" s="4"/>
      <c r="G996" s="5"/>
    </row>
    <row r="997" spans="2:7" ht="15.75" customHeight="1">
      <c r="B997" s="4"/>
      <c r="C997" s="4"/>
      <c r="E997" s="4"/>
      <c r="F997" s="4"/>
      <c r="G997" s="5"/>
    </row>
    <row r="998" spans="2:7" ht="15.75" customHeight="1">
      <c r="B998" s="4"/>
      <c r="C998" s="4"/>
      <c r="E998" s="4"/>
      <c r="F998" s="4"/>
      <c r="G998" s="5"/>
    </row>
    <row r="999" spans="2:7" ht="15.75" customHeight="1">
      <c r="B999" s="4"/>
      <c r="C999" s="4"/>
      <c r="E999" s="4"/>
      <c r="F999" s="4"/>
      <c r="G999" s="5"/>
    </row>
    <row r="1000" spans="2:7" ht="15.75" customHeight="1">
      <c r="B1000" s="4"/>
      <c r="C1000" s="4"/>
      <c r="E1000" s="4"/>
      <c r="F1000" s="4"/>
      <c r="G1000" s="5"/>
    </row>
  </sheetData>
  <mergeCells count="3">
    <mergeCell ref="H2:H4"/>
    <mergeCell ref="K22:L24"/>
    <mergeCell ref="K26:O27"/>
  </mergeCells>
  <hyperlinks>
    <hyperlink ref="H2" r:id="rId1" xr:uid="{00000000-0004-0000-0400-000000000000}"/>
    <hyperlink ref="H12" r:id="rId2" xr:uid="{00000000-0004-0000-0400-000001000000}"/>
    <hyperlink ref="J18" r:id="rId3" xr:uid="{00000000-0004-0000-0400-000002000000}"/>
    <hyperlink ref="H28" r:id="rId4" xr:uid="{00000000-0004-0000-0400-000003000000}"/>
    <hyperlink ref="H29" r:id="rId5" xr:uid="{00000000-0004-0000-0400-000004000000}"/>
    <hyperlink ref="I34" r:id="rId6" xr:uid="{00000000-0004-0000-0400-000005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0"/>
  <sheetViews>
    <sheetView workbookViewId="0"/>
  </sheetViews>
  <sheetFormatPr baseColWidth="10" defaultColWidth="11.1640625" defaultRowHeight="15" customHeight="1"/>
  <cols>
    <col min="1" max="26" width="8.5" customWidth="1"/>
  </cols>
  <sheetData>
    <row r="1" spans="1:18" ht="15.75" customHeight="1">
      <c r="A1" s="141" t="s">
        <v>441</v>
      </c>
      <c r="B1" s="142" t="s">
        <v>442</v>
      </c>
      <c r="C1" s="142" t="s">
        <v>443</v>
      </c>
      <c r="D1" s="142" t="s">
        <v>444</v>
      </c>
      <c r="E1" s="143"/>
      <c r="F1" s="143"/>
      <c r="G1" s="143"/>
      <c r="H1" s="144"/>
      <c r="I1" s="13" t="s">
        <v>0</v>
      </c>
      <c r="M1" s="145" t="s">
        <v>445</v>
      </c>
      <c r="N1" s="146" t="s">
        <v>446</v>
      </c>
      <c r="O1" s="146" t="s">
        <v>447</v>
      </c>
      <c r="P1" s="147"/>
      <c r="Q1" s="148"/>
      <c r="R1" s="149" t="s">
        <v>448</v>
      </c>
    </row>
    <row r="2" spans="1:18" ht="15.75" customHeight="1">
      <c r="A2" s="150" t="s">
        <v>449</v>
      </c>
      <c r="B2" s="3" t="s">
        <v>450</v>
      </c>
      <c r="C2" s="3" t="s">
        <v>451</v>
      </c>
      <c r="D2" s="3" t="s">
        <v>452</v>
      </c>
      <c r="E2" s="3"/>
      <c r="F2" s="3"/>
      <c r="G2" s="3"/>
      <c r="H2" s="151"/>
      <c r="M2" s="152" t="s">
        <v>453</v>
      </c>
      <c r="N2" s="149" t="s">
        <v>454</v>
      </c>
      <c r="O2" s="149" t="s">
        <v>455</v>
      </c>
      <c r="Q2" s="153"/>
    </row>
    <row r="3" spans="1:18" ht="15.75" customHeight="1">
      <c r="A3" s="150" t="s">
        <v>449</v>
      </c>
      <c r="B3" s="3" t="s">
        <v>456</v>
      </c>
      <c r="C3" s="3" t="s">
        <v>457</v>
      </c>
      <c r="D3" s="3" t="s">
        <v>458</v>
      </c>
      <c r="E3" s="3"/>
      <c r="F3" s="3"/>
      <c r="G3" s="3"/>
      <c r="H3" s="151"/>
      <c r="M3" s="152" t="s">
        <v>459</v>
      </c>
      <c r="N3" s="149" t="s">
        <v>460</v>
      </c>
      <c r="O3" s="149" t="s">
        <v>461</v>
      </c>
      <c r="Q3" s="153"/>
    </row>
    <row r="4" spans="1:18" ht="15.75" customHeight="1">
      <c r="A4" s="150" t="s">
        <v>449</v>
      </c>
      <c r="B4" s="3" t="s">
        <v>462</v>
      </c>
      <c r="C4" s="3" t="s">
        <v>463</v>
      </c>
      <c r="D4" s="3" t="s">
        <v>464</v>
      </c>
      <c r="E4" s="3"/>
      <c r="F4" s="3"/>
      <c r="G4" s="3"/>
      <c r="H4" s="151"/>
      <c r="M4" s="152" t="s">
        <v>465</v>
      </c>
      <c r="N4" s="149" t="s">
        <v>466</v>
      </c>
      <c r="O4" s="149" t="s">
        <v>467</v>
      </c>
      <c r="Q4" s="153"/>
    </row>
    <row r="5" spans="1:18" ht="15.75" customHeight="1">
      <c r="A5" s="150" t="s">
        <v>449</v>
      </c>
      <c r="B5" s="3" t="s">
        <v>468</v>
      </c>
      <c r="C5" s="3" t="s">
        <v>469</v>
      </c>
      <c r="D5" s="3" t="s">
        <v>470</v>
      </c>
      <c r="E5" s="3"/>
      <c r="F5" s="3"/>
      <c r="G5" s="3"/>
      <c r="H5" s="151"/>
      <c r="M5" s="152" t="s">
        <v>471</v>
      </c>
      <c r="N5" s="149" t="s">
        <v>472</v>
      </c>
      <c r="O5" s="149" t="s">
        <v>473</v>
      </c>
      <c r="Q5" s="153"/>
    </row>
    <row r="6" spans="1:18" ht="15.75" customHeight="1">
      <c r="A6" s="150" t="s">
        <v>449</v>
      </c>
      <c r="B6" s="3" t="s">
        <v>474</v>
      </c>
      <c r="C6" s="3" t="s">
        <v>475</v>
      </c>
      <c r="D6" s="3" t="s">
        <v>476</v>
      </c>
      <c r="E6" s="3"/>
      <c r="F6" s="3"/>
      <c r="G6" s="3"/>
      <c r="H6" s="151"/>
      <c r="M6" s="152" t="s">
        <v>477</v>
      </c>
      <c r="N6" s="149" t="s">
        <v>478</v>
      </c>
      <c r="O6" s="149" t="s">
        <v>479</v>
      </c>
      <c r="Q6" s="153"/>
    </row>
    <row r="7" spans="1:18" ht="15.75" customHeight="1">
      <c r="A7" s="150" t="s">
        <v>480</v>
      </c>
      <c r="B7" s="3" t="s">
        <v>481</v>
      </c>
      <c r="C7" s="3" t="s">
        <v>482</v>
      </c>
      <c r="D7" s="3" t="s">
        <v>483</v>
      </c>
      <c r="E7" s="3"/>
      <c r="F7" s="3"/>
      <c r="G7" s="3"/>
      <c r="H7" s="151"/>
      <c r="M7" s="152" t="s">
        <v>484</v>
      </c>
      <c r="N7" s="149" t="s">
        <v>485</v>
      </c>
      <c r="O7" s="149" t="s">
        <v>486</v>
      </c>
      <c r="Q7" s="153"/>
    </row>
    <row r="8" spans="1:18" ht="15.75" customHeight="1">
      <c r="A8" s="150" t="s">
        <v>480</v>
      </c>
      <c r="B8" s="3" t="s">
        <v>487</v>
      </c>
      <c r="C8" s="3" t="s">
        <v>488</v>
      </c>
      <c r="D8" s="3" t="s">
        <v>489</v>
      </c>
      <c r="E8" s="3"/>
      <c r="F8" s="3"/>
      <c r="G8" s="3"/>
      <c r="H8" s="151"/>
      <c r="M8" s="152" t="s">
        <v>490</v>
      </c>
      <c r="N8" s="149" t="s">
        <v>491</v>
      </c>
      <c r="O8" s="149" t="s">
        <v>492</v>
      </c>
      <c r="Q8" s="153"/>
    </row>
    <row r="9" spans="1:18" ht="15.75" customHeight="1">
      <c r="A9" s="150" t="s">
        <v>480</v>
      </c>
      <c r="B9" s="3" t="s">
        <v>493</v>
      </c>
      <c r="C9" s="3" t="s">
        <v>494</v>
      </c>
      <c r="D9" s="3" t="s">
        <v>495</v>
      </c>
      <c r="E9" s="3"/>
      <c r="F9" s="3"/>
      <c r="G9" s="3"/>
      <c r="H9" s="151"/>
      <c r="M9" s="152" t="s">
        <v>496</v>
      </c>
      <c r="N9" s="149" t="s">
        <v>497</v>
      </c>
      <c r="O9" s="149" t="s">
        <v>498</v>
      </c>
      <c r="Q9" s="153"/>
    </row>
    <row r="10" spans="1:18" ht="15.75" customHeight="1">
      <c r="A10" s="150" t="s">
        <v>480</v>
      </c>
      <c r="B10" s="3" t="s">
        <v>499</v>
      </c>
      <c r="C10" s="3" t="s">
        <v>500</v>
      </c>
      <c r="D10" s="3" t="s">
        <v>501</v>
      </c>
      <c r="E10" s="3"/>
      <c r="F10" s="3"/>
      <c r="G10" s="3"/>
      <c r="H10" s="151"/>
      <c r="M10" s="152" t="s">
        <v>502</v>
      </c>
      <c r="N10" s="149" t="s">
        <v>503</v>
      </c>
      <c r="O10" s="149" t="s">
        <v>504</v>
      </c>
      <c r="Q10" s="153"/>
    </row>
    <row r="11" spans="1:18" ht="15.75" customHeight="1">
      <c r="A11" s="150" t="s">
        <v>480</v>
      </c>
      <c r="B11" s="3" t="s">
        <v>505</v>
      </c>
      <c r="C11" s="3" t="s">
        <v>506</v>
      </c>
      <c r="D11" s="3" t="s">
        <v>507</v>
      </c>
      <c r="E11" s="3"/>
      <c r="F11" s="3"/>
      <c r="G11" s="3"/>
      <c r="H11" s="151"/>
      <c r="M11" s="152" t="s">
        <v>508</v>
      </c>
      <c r="N11" s="149" t="s">
        <v>509</v>
      </c>
      <c r="O11" s="149" t="s">
        <v>510</v>
      </c>
      <c r="Q11" s="153"/>
    </row>
    <row r="12" spans="1:18" ht="15.75" customHeight="1">
      <c r="A12" s="154" t="s">
        <v>511</v>
      </c>
      <c r="B12" s="155" t="s">
        <v>512</v>
      </c>
      <c r="C12" s="155" t="s">
        <v>513</v>
      </c>
      <c r="D12" s="155" t="s">
        <v>514</v>
      </c>
      <c r="E12" s="3"/>
      <c r="F12" s="3"/>
      <c r="G12" s="3"/>
      <c r="H12" s="151"/>
      <c r="M12" s="152" t="s">
        <v>515</v>
      </c>
      <c r="N12" s="149" t="s">
        <v>516</v>
      </c>
      <c r="O12" s="149" t="s">
        <v>517</v>
      </c>
      <c r="Q12" s="153"/>
    </row>
    <row r="13" spans="1:18" ht="15.75" customHeight="1">
      <c r="A13" s="156" t="s">
        <v>518</v>
      </c>
      <c r="B13" s="157" t="s">
        <v>519</v>
      </c>
      <c r="C13" s="157" t="s">
        <v>520</v>
      </c>
      <c r="D13" s="157" t="s">
        <v>521</v>
      </c>
      <c r="E13" s="3"/>
      <c r="F13" s="3"/>
      <c r="G13" s="3"/>
      <c r="H13" s="151"/>
      <c r="M13" s="152" t="s">
        <v>522</v>
      </c>
      <c r="N13" s="149" t="s">
        <v>523</v>
      </c>
      <c r="O13" s="149" t="s">
        <v>524</v>
      </c>
      <c r="Q13" s="153"/>
    </row>
    <row r="14" spans="1:18" ht="15.75" customHeight="1">
      <c r="A14" s="156" t="s">
        <v>525</v>
      </c>
      <c r="B14" s="157" t="s">
        <v>526</v>
      </c>
      <c r="C14" s="157" t="s">
        <v>527</v>
      </c>
      <c r="D14" s="157" t="s">
        <v>528</v>
      </c>
      <c r="E14" s="3"/>
      <c r="F14" s="3"/>
      <c r="G14" s="3"/>
      <c r="H14" s="151"/>
      <c r="M14" s="152" t="s">
        <v>529</v>
      </c>
      <c r="N14" s="149" t="s">
        <v>530</v>
      </c>
      <c r="O14" s="149" t="s">
        <v>531</v>
      </c>
      <c r="Q14" s="153"/>
    </row>
    <row r="15" spans="1:18" ht="15.75" customHeight="1">
      <c r="A15" s="156" t="s">
        <v>532</v>
      </c>
      <c r="B15" s="157" t="s">
        <v>533</v>
      </c>
      <c r="C15" s="157" t="s">
        <v>527</v>
      </c>
      <c r="D15" s="157" t="s">
        <v>534</v>
      </c>
      <c r="E15" s="3"/>
      <c r="F15" s="3"/>
      <c r="G15" s="3"/>
      <c r="H15" s="151"/>
      <c r="M15" s="152" t="s">
        <v>535</v>
      </c>
      <c r="N15" s="149" t="s">
        <v>536</v>
      </c>
      <c r="O15" s="149" t="s">
        <v>537</v>
      </c>
      <c r="Q15" s="153"/>
    </row>
    <row r="16" spans="1:18" ht="15.75" customHeight="1">
      <c r="A16" s="156" t="s">
        <v>538</v>
      </c>
      <c r="B16" s="157" t="s">
        <v>539</v>
      </c>
      <c r="C16" s="157" t="s">
        <v>527</v>
      </c>
      <c r="D16" s="157" t="s">
        <v>540</v>
      </c>
      <c r="E16" s="3"/>
      <c r="F16" s="3"/>
      <c r="G16" s="3"/>
      <c r="H16" s="151"/>
      <c r="M16" s="152" t="s">
        <v>541</v>
      </c>
      <c r="N16" s="149" t="s">
        <v>542</v>
      </c>
      <c r="O16" s="149" t="s">
        <v>543</v>
      </c>
      <c r="Q16" s="153"/>
    </row>
    <row r="17" spans="1:17" ht="15.75" customHeight="1">
      <c r="A17" s="156" t="s">
        <v>544</v>
      </c>
      <c r="B17" s="157" t="s">
        <v>545</v>
      </c>
      <c r="C17" s="157" t="s">
        <v>527</v>
      </c>
      <c r="D17" s="157" t="s">
        <v>546</v>
      </c>
      <c r="E17" s="3"/>
      <c r="F17" s="3"/>
      <c r="G17" s="3"/>
      <c r="H17" s="151"/>
      <c r="M17" s="152" t="s">
        <v>547</v>
      </c>
      <c r="N17" s="149" t="s">
        <v>548</v>
      </c>
      <c r="O17" s="149" t="s">
        <v>549</v>
      </c>
      <c r="Q17" s="153"/>
    </row>
    <row r="18" spans="1:17" ht="15.75" customHeight="1">
      <c r="A18" s="156" t="s">
        <v>550</v>
      </c>
      <c r="B18" s="157" t="s">
        <v>551</v>
      </c>
      <c r="C18" s="157" t="s">
        <v>527</v>
      </c>
      <c r="D18" s="157" t="s">
        <v>552</v>
      </c>
      <c r="E18" s="3"/>
      <c r="F18" s="3"/>
      <c r="G18" s="3"/>
      <c r="H18" s="151"/>
      <c r="M18" s="152" t="s">
        <v>553</v>
      </c>
      <c r="N18" s="149" t="s">
        <v>554</v>
      </c>
      <c r="O18" s="149" t="s">
        <v>555</v>
      </c>
      <c r="Q18" s="153"/>
    </row>
    <row r="19" spans="1:17" ht="15.75" customHeight="1">
      <c r="A19" s="156" t="s">
        <v>556</v>
      </c>
      <c r="B19" s="157" t="s">
        <v>526</v>
      </c>
      <c r="C19" s="157" t="s">
        <v>527</v>
      </c>
      <c r="D19" s="157" t="s">
        <v>557</v>
      </c>
      <c r="E19" s="3"/>
      <c r="F19" s="3"/>
      <c r="G19" s="3"/>
      <c r="H19" s="151"/>
      <c r="M19" s="152" t="s">
        <v>558</v>
      </c>
      <c r="N19" s="149" t="s">
        <v>559</v>
      </c>
      <c r="O19" s="149" t="s">
        <v>560</v>
      </c>
      <c r="Q19" s="153"/>
    </row>
    <row r="20" spans="1:17" ht="15.75" customHeight="1">
      <c r="A20" s="156" t="s">
        <v>561</v>
      </c>
      <c r="B20" s="157" t="s">
        <v>562</v>
      </c>
      <c r="C20" s="157" t="s">
        <v>527</v>
      </c>
      <c r="D20" s="157" t="s">
        <v>563</v>
      </c>
      <c r="E20" s="3"/>
      <c r="F20" s="3"/>
      <c r="G20" s="3"/>
      <c r="H20" s="151"/>
      <c r="M20" s="152" t="s">
        <v>564</v>
      </c>
      <c r="N20" s="149" t="s">
        <v>565</v>
      </c>
      <c r="O20" s="149" t="s">
        <v>566</v>
      </c>
      <c r="Q20" s="153"/>
    </row>
    <row r="21" spans="1:17" ht="15.75" customHeight="1">
      <c r="A21" s="156" t="s">
        <v>567</v>
      </c>
      <c r="B21" s="157" t="s">
        <v>568</v>
      </c>
      <c r="C21" s="157" t="s">
        <v>527</v>
      </c>
      <c r="D21" s="157" t="s">
        <v>569</v>
      </c>
      <c r="E21" s="3"/>
      <c r="F21" s="3"/>
      <c r="G21" s="3"/>
      <c r="H21" s="151"/>
      <c r="M21" s="152" t="s">
        <v>570</v>
      </c>
      <c r="N21" s="149" t="s">
        <v>571</v>
      </c>
      <c r="O21" s="149" t="s">
        <v>572</v>
      </c>
      <c r="Q21" s="153"/>
    </row>
    <row r="22" spans="1:17" ht="15.75" customHeight="1">
      <c r="A22" s="156" t="s">
        <v>573</v>
      </c>
      <c r="B22" s="157" t="s">
        <v>562</v>
      </c>
      <c r="C22" s="157" t="s">
        <v>527</v>
      </c>
      <c r="D22" s="157" t="s">
        <v>574</v>
      </c>
      <c r="E22" s="3"/>
      <c r="F22" s="3"/>
      <c r="G22" s="3"/>
      <c r="H22" s="151"/>
      <c r="M22" s="152" t="s">
        <v>575</v>
      </c>
      <c r="N22" s="149" t="s">
        <v>576</v>
      </c>
      <c r="O22" s="149" t="s">
        <v>577</v>
      </c>
      <c r="Q22" s="153"/>
    </row>
    <row r="23" spans="1:17" ht="15.75" customHeight="1">
      <c r="A23" s="156" t="s">
        <v>578</v>
      </c>
      <c r="B23" s="157" t="s">
        <v>579</v>
      </c>
      <c r="C23" s="157" t="s">
        <v>527</v>
      </c>
      <c r="D23" s="157" t="s">
        <v>580</v>
      </c>
      <c r="E23" s="3"/>
      <c r="F23" s="3"/>
      <c r="G23" s="3"/>
      <c r="H23" s="151"/>
      <c r="M23" s="152" t="s">
        <v>581</v>
      </c>
      <c r="N23" s="149" t="s">
        <v>582</v>
      </c>
      <c r="O23" s="149" t="s">
        <v>583</v>
      </c>
      <c r="Q23" s="153"/>
    </row>
    <row r="24" spans="1:17" ht="15.75" customHeight="1">
      <c r="A24" s="156" t="s">
        <v>584</v>
      </c>
      <c r="B24" s="157" t="s">
        <v>585</v>
      </c>
      <c r="C24" s="157" t="s">
        <v>527</v>
      </c>
      <c r="D24" s="157" t="s">
        <v>586</v>
      </c>
      <c r="E24" s="3"/>
      <c r="F24" s="3"/>
      <c r="G24" s="3"/>
      <c r="H24" s="151"/>
      <c r="M24" s="158" t="s">
        <v>587</v>
      </c>
      <c r="N24" s="159" t="s">
        <v>588</v>
      </c>
      <c r="O24" s="159" t="s">
        <v>589</v>
      </c>
      <c r="P24" s="160"/>
      <c r="Q24" s="161"/>
    </row>
    <row r="25" spans="1:17" ht="15.75" customHeight="1">
      <c r="A25" s="156" t="s">
        <v>590</v>
      </c>
      <c r="B25" s="157" t="s">
        <v>562</v>
      </c>
      <c r="C25" s="157" t="s">
        <v>527</v>
      </c>
      <c r="D25" s="157" t="s">
        <v>591</v>
      </c>
      <c r="E25" s="3"/>
      <c r="F25" s="3"/>
      <c r="G25" s="3"/>
      <c r="H25" s="151"/>
    </row>
    <row r="26" spans="1:17" ht="15.75" customHeight="1">
      <c r="A26" s="156" t="s">
        <v>592</v>
      </c>
      <c r="B26" s="157" t="s">
        <v>593</v>
      </c>
      <c r="C26" s="157" t="s">
        <v>527</v>
      </c>
      <c r="D26" s="157" t="s">
        <v>594</v>
      </c>
      <c r="E26" s="3"/>
      <c r="F26" s="3"/>
      <c r="G26" s="3"/>
      <c r="H26" s="151"/>
    </row>
    <row r="27" spans="1:17" ht="15.75" customHeight="1">
      <c r="A27" s="156" t="s">
        <v>595</v>
      </c>
      <c r="B27" s="157" t="s">
        <v>568</v>
      </c>
      <c r="C27" s="157" t="s">
        <v>527</v>
      </c>
      <c r="D27" s="157" t="s">
        <v>596</v>
      </c>
      <c r="E27" s="3"/>
      <c r="F27" s="3"/>
      <c r="G27" s="3"/>
      <c r="H27" s="151"/>
    </row>
    <row r="28" spans="1:17" ht="15.75" customHeight="1">
      <c r="A28" s="156" t="s">
        <v>597</v>
      </c>
      <c r="B28" s="157" t="s">
        <v>568</v>
      </c>
      <c r="C28" s="157" t="s">
        <v>527</v>
      </c>
      <c r="D28" s="157" t="s">
        <v>598</v>
      </c>
      <c r="E28" s="3"/>
      <c r="F28" s="3"/>
      <c r="G28" s="3"/>
      <c r="H28" s="151"/>
    </row>
    <row r="29" spans="1:17" ht="15.75" customHeight="1">
      <c r="A29" s="156" t="s">
        <v>599</v>
      </c>
      <c r="B29" s="157" t="s">
        <v>526</v>
      </c>
      <c r="C29" s="157" t="s">
        <v>527</v>
      </c>
      <c r="D29" s="157" t="s">
        <v>600</v>
      </c>
      <c r="E29" s="3"/>
      <c r="F29" s="3"/>
      <c r="G29" s="3"/>
      <c r="H29" s="151"/>
    </row>
    <row r="30" spans="1:17" ht="15.75" customHeight="1">
      <c r="A30" s="156" t="s">
        <v>601</v>
      </c>
      <c r="B30" s="157" t="s">
        <v>602</v>
      </c>
      <c r="C30" s="157" t="s">
        <v>527</v>
      </c>
      <c r="D30" s="157" t="s">
        <v>603</v>
      </c>
      <c r="E30" s="3"/>
      <c r="F30" s="3"/>
      <c r="G30" s="3"/>
      <c r="H30" s="151"/>
    </row>
    <row r="31" spans="1:17" ht="15.75" customHeight="1">
      <c r="A31" s="156" t="s">
        <v>604</v>
      </c>
      <c r="B31" s="157" t="s">
        <v>585</v>
      </c>
      <c r="C31" s="157" t="s">
        <v>527</v>
      </c>
      <c r="D31" s="157" t="s">
        <v>605</v>
      </c>
      <c r="E31" s="3"/>
      <c r="F31" s="3"/>
      <c r="G31" s="3"/>
      <c r="H31" s="151"/>
    </row>
    <row r="32" spans="1:17" ht="15.75" customHeight="1">
      <c r="A32" s="156" t="s">
        <v>606</v>
      </c>
      <c r="B32" s="157" t="s">
        <v>533</v>
      </c>
      <c r="C32" s="157" t="s">
        <v>527</v>
      </c>
      <c r="D32" s="157" t="s">
        <v>607</v>
      </c>
      <c r="E32" s="3"/>
      <c r="F32" s="3"/>
      <c r="G32" s="3"/>
      <c r="H32" s="151"/>
    </row>
    <row r="33" spans="1:8" ht="15.75" customHeight="1">
      <c r="A33" s="156" t="s">
        <v>608</v>
      </c>
      <c r="B33" s="157" t="s">
        <v>609</v>
      </c>
      <c r="C33" s="157" t="s">
        <v>527</v>
      </c>
      <c r="D33" s="157" t="s">
        <v>610</v>
      </c>
      <c r="E33" s="3"/>
      <c r="F33" s="3"/>
      <c r="G33" s="3"/>
      <c r="H33" s="151"/>
    </row>
    <row r="34" spans="1:8" ht="15.75" customHeight="1">
      <c r="A34" s="156" t="s">
        <v>611</v>
      </c>
      <c r="B34" s="157" t="s">
        <v>579</v>
      </c>
      <c r="C34" s="157" t="s">
        <v>527</v>
      </c>
      <c r="D34" s="157" t="s">
        <v>612</v>
      </c>
      <c r="E34" s="3"/>
      <c r="F34" s="3"/>
      <c r="G34" s="3"/>
      <c r="H34" s="151"/>
    </row>
    <row r="35" spans="1:8" ht="15.75" customHeight="1">
      <c r="A35" s="156" t="s">
        <v>613</v>
      </c>
      <c r="B35" s="157" t="s">
        <v>533</v>
      </c>
      <c r="C35" s="157" t="s">
        <v>527</v>
      </c>
      <c r="D35" s="157" t="s">
        <v>614</v>
      </c>
      <c r="E35" s="3"/>
      <c r="F35" s="3"/>
      <c r="G35" s="3"/>
      <c r="H35" s="151"/>
    </row>
    <row r="36" spans="1:8" ht="15.75" customHeight="1">
      <c r="A36" s="156" t="s">
        <v>506</v>
      </c>
      <c r="B36" s="157" t="s">
        <v>545</v>
      </c>
      <c r="C36" s="157" t="s">
        <v>527</v>
      </c>
      <c r="D36" s="157" t="s">
        <v>615</v>
      </c>
      <c r="E36" s="3"/>
      <c r="F36" s="3"/>
      <c r="G36" s="3"/>
      <c r="H36" s="151"/>
    </row>
    <row r="37" spans="1:8" ht="15.75" customHeight="1">
      <c r="A37" s="156" t="s">
        <v>616</v>
      </c>
      <c r="B37" s="157" t="s">
        <v>617</v>
      </c>
      <c r="C37" s="157" t="s">
        <v>527</v>
      </c>
      <c r="D37" s="157" t="s">
        <v>618</v>
      </c>
      <c r="E37" s="3"/>
      <c r="F37" s="3"/>
      <c r="G37" s="3"/>
      <c r="H37" s="151"/>
    </row>
    <row r="38" spans="1:8" ht="15.75" customHeight="1">
      <c r="A38" s="156" t="s">
        <v>619</v>
      </c>
      <c r="B38" s="157" t="s">
        <v>545</v>
      </c>
      <c r="C38" s="157" t="s">
        <v>527</v>
      </c>
      <c r="D38" s="157" t="s">
        <v>620</v>
      </c>
      <c r="E38" s="3"/>
      <c r="F38" s="3"/>
      <c r="G38" s="3"/>
      <c r="H38" s="151"/>
    </row>
    <row r="39" spans="1:8" ht="15.75" customHeight="1">
      <c r="A39" s="156" t="s">
        <v>621</v>
      </c>
      <c r="B39" s="157" t="s">
        <v>622</v>
      </c>
      <c r="C39" s="157" t="s">
        <v>527</v>
      </c>
      <c r="D39" s="157" t="s">
        <v>623</v>
      </c>
      <c r="E39" s="3"/>
      <c r="F39" s="3"/>
      <c r="G39" s="3"/>
      <c r="H39" s="151"/>
    </row>
    <row r="40" spans="1:8" ht="15.75" customHeight="1">
      <c r="A40" s="156" t="s">
        <v>624</v>
      </c>
      <c r="B40" s="157" t="s">
        <v>545</v>
      </c>
      <c r="C40" s="157" t="s">
        <v>527</v>
      </c>
      <c r="D40" s="157" t="s">
        <v>625</v>
      </c>
      <c r="E40" s="3"/>
      <c r="F40" s="3"/>
      <c r="G40" s="3"/>
      <c r="H40" s="151"/>
    </row>
    <row r="41" spans="1:8" ht="15.75" customHeight="1">
      <c r="A41" s="156" t="s">
        <v>482</v>
      </c>
      <c r="B41" s="157" t="s">
        <v>551</v>
      </c>
      <c r="C41" s="157" t="s">
        <v>527</v>
      </c>
      <c r="D41" s="157" t="s">
        <v>626</v>
      </c>
      <c r="E41" s="3"/>
      <c r="F41" s="3"/>
      <c r="G41" s="3"/>
      <c r="H41" s="151"/>
    </row>
    <row r="42" spans="1:8" ht="15.75" customHeight="1">
      <c r="A42" s="156" t="s">
        <v>627</v>
      </c>
      <c r="B42" s="157" t="s">
        <v>545</v>
      </c>
      <c r="C42" s="157" t="s">
        <v>527</v>
      </c>
      <c r="D42" s="157" t="s">
        <v>628</v>
      </c>
      <c r="E42" s="3"/>
      <c r="F42" s="3"/>
      <c r="G42" s="3"/>
      <c r="H42" s="151"/>
    </row>
    <row r="43" spans="1:8" ht="15.75" customHeight="1">
      <c r="A43" s="156" t="s">
        <v>629</v>
      </c>
      <c r="B43" s="157" t="s">
        <v>562</v>
      </c>
      <c r="C43" s="157" t="s">
        <v>527</v>
      </c>
      <c r="D43" s="157" t="s">
        <v>630</v>
      </c>
      <c r="E43" s="3"/>
      <c r="F43" s="3"/>
      <c r="G43" s="3"/>
      <c r="H43" s="151"/>
    </row>
    <row r="44" spans="1:8" ht="15.75" customHeight="1">
      <c r="A44" s="156" t="s">
        <v>631</v>
      </c>
      <c r="B44" s="157" t="s">
        <v>609</v>
      </c>
      <c r="C44" s="157" t="s">
        <v>527</v>
      </c>
      <c r="D44" s="157" t="s">
        <v>632</v>
      </c>
      <c r="E44" s="3"/>
      <c r="F44" s="3"/>
      <c r="G44" s="3"/>
      <c r="H44" s="151"/>
    </row>
    <row r="45" spans="1:8" ht="15.75" customHeight="1">
      <c r="A45" s="156" t="s">
        <v>633</v>
      </c>
      <c r="B45" s="157" t="s">
        <v>519</v>
      </c>
      <c r="C45" s="157" t="s">
        <v>527</v>
      </c>
      <c r="D45" s="157" t="s">
        <v>634</v>
      </c>
      <c r="E45" s="3"/>
      <c r="F45" s="3"/>
      <c r="G45" s="3"/>
      <c r="H45" s="151"/>
    </row>
    <row r="46" spans="1:8" ht="15.75" customHeight="1">
      <c r="A46" s="156" t="s">
        <v>635</v>
      </c>
      <c r="B46" s="157" t="s">
        <v>539</v>
      </c>
      <c r="C46" s="157" t="s">
        <v>527</v>
      </c>
      <c r="D46" s="157" t="s">
        <v>636</v>
      </c>
      <c r="E46" s="3"/>
      <c r="F46" s="3"/>
      <c r="G46" s="3"/>
      <c r="H46" s="151"/>
    </row>
    <row r="47" spans="1:8" ht="15.75" customHeight="1">
      <c r="A47" s="156" t="s">
        <v>637</v>
      </c>
      <c r="B47" s="157" t="s">
        <v>568</v>
      </c>
      <c r="C47" s="157" t="s">
        <v>527</v>
      </c>
      <c r="D47" s="157" t="s">
        <v>638</v>
      </c>
      <c r="E47" s="3"/>
      <c r="F47" s="3"/>
      <c r="G47" s="3"/>
      <c r="H47" s="151"/>
    </row>
    <row r="48" spans="1:8" ht="15.75" customHeight="1">
      <c r="A48" s="156" t="s">
        <v>639</v>
      </c>
      <c r="B48" s="157" t="s">
        <v>539</v>
      </c>
      <c r="C48" s="157" t="s">
        <v>527</v>
      </c>
      <c r="D48" s="157" t="s">
        <v>640</v>
      </c>
      <c r="E48" s="3"/>
      <c r="F48" s="3"/>
      <c r="G48" s="3"/>
      <c r="H48" s="151"/>
    </row>
    <row r="49" spans="1:8" ht="15.75" customHeight="1">
      <c r="A49" s="156" t="s">
        <v>641</v>
      </c>
      <c r="B49" s="157" t="s">
        <v>562</v>
      </c>
      <c r="C49" s="157" t="s">
        <v>527</v>
      </c>
      <c r="D49" s="157" t="s">
        <v>642</v>
      </c>
      <c r="E49" s="3"/>
      <c r="F49" s="3"/>
      <c r="G49" s="3"/>
      <c r="H49" s="151"/>
    </row>
    <row r="50" spans="1:8" ht="15.75" customHeight="1">
      <c r="A50" s="156" t="s">
        <v>643</v>
      </c>
      <c r="B50" s="157" t="s">
        <v>519</v>
      </c>
      <c r="C50" s="157" t="s">
        <v>527</v>
      </c>
      <c r="D50" s="157" t="s">
        <v>644</v>
      </c>
      <c r="E50" s="3"/>
      <c r="F50" s="3"/>
      <c r="G50" s="3"/>
      <c r="H50" s="151"/>
    </row>
    <row r="51" spans="1:8" ht="15.75" customHeight="1">
      <c r="A51" s="156" t="s">
        <v>645</v>
      </c>
      <c r="B51" s="157" t="s">
        <v>579</v>
      </c>
      <c r="C51" s="157" t="s">
        <v>527</v>
      </c>
      <c r="D51" s="157" t="s">
        <v>646</v>
      </c>
      <c r="E51" s="3"/>
      <c r="F51" s="3"/>
      <c r="G51" s="3"/>
      <c r="H51" s="151"/>
    </row>
    <row r="52" spans="1:8" ht="15.75" customHeight="1">
      <c r="A52" s="156" t="s">
        <v>647</v>
      </c>
      <c r="B52" s="157" t="s">
        <v>617</v>
      </c>
      <c r="C52" s="157" t="s">
        <v>527</v>
      </c>
      <c r="D52" s="157" t="s">
        <v>648</v>
      </c>
      <c r="E52" s="3"/>
      <c r="F52" s="3"/>
      <c r="G52" s="3"/>
      <c r="H52" s="151"/>
    </row>
    <row r="53" spans="1:8" ht="15.75" customHeight="1">
      <c r="A53" s="156" t="s">
        <v>649</v>
      </c>
      <c r="B53" s="157" t="s">
        <v>519</v>
      </c>
      <c r="C53" s="157" t="s">
        <v>527</v>
      </c>
      <c r="D53" s="157" t="s">
        <v>650</v>
      </c>
      <c r="E53" s="3"/>
      <c r="F53" s="3"/>
      <c r="G53" s="3"/>
      <c r="H53" s="151"/>
    </row>
    <row r="54" spans="1:8" ht="15.75" customHeight="1">
      <c r="A54" s="156" t="s">
        <v>651</v>
      </c>
      <c r="B54" s="157" t="s">
        <v>652</v>
      </c>
      <c r="C54" s="157" t="s">
        <v>527</v>
      </c>
      <c r="D54" s="157" t="s">
        <v>653</v>
      </c>
      <c r="E54" s="3"/>
      <c r="F54" s="3"/>
      <c r="G54" s="3"/>
      <c r="H54" s="151"/>
    </row>
    <row r="55" spans="1:8" ht="15.75" customHeight="1">
      <c r="A55" s="156" t="s">
        <v>654</v>
      </c>
      <c r="B55" s="157" t="s">
        <v>551</v>
      </c>
      <c r="C55" s="157" t="s">
        <v>527</v>
      </c>
      <c r="D55" s="157" t="s">
        <v>655</v>
      </c>
      <c r="E55" s="3"/>
      <c r="F55" s="3"/>
      <c r="G55" s="3"/>
      <c r="H55" s="151"/>
    </row>
    <row r="56" spans="1:8" ht="15.75" customHeight="1">
      <c r="A56" s="156" t="s">
        <v>656</v>
      </c>
      <c r="B56" s="157" t="s">
        <v>593</v>
      </c>
      <c r="C56" s="157" t="s">
        <v>527</v>
      </c>
      <c r="D56" s="157" t="s">
        <v>657</v>
      </c>
      <c r="E56" s="3"/>
      <c r="F56" s="3"/>
      <c r="G56" s="3"/>
      <c r="H56" s="151"/>
    </row>
    <row r="57" spans="1:8" ht="15.75" customHeight="1">
      <c r="A57" s="156" t="s">
        <v>658</v>
      </c>
      <c r="B57" s="157" t="s">
        <v>579</v>
      </c>
      <c r="C57" s="157" t="s">
        <v>527</v>
      </c>
      <c r="D57" s="157" t="s">
        <v>659</v>
      </c>
      <c r="E57" s="3"/>
      <c r="F57" s="3"/>
      <c r="G57" s="3"/>
      <c r="H57" s="151"/>
    </row>
    <row r="58" spans="1:8" ht="15.75" customHeight="1">
      <c r="A58" s="156" t="s">
        <v>660</v>
      </c>
      <c r="B58" s="157" t="s">
        <v>519</v>
      </c>
      <c r="C58" s="157" t="s">
        <v>527</v>
      </c>
      <c r="D58" s="157" t="s">
        <v>661</v>
      </c>
      <c r="E58" s="3"/>
      <c r="F58" s="3"/>
      <c r="G58" s="3"/>
      <c r="H58" s="151"/>
    </row>
    <row r="59" spans="1:8" ht="15.75" customHeight="1">
      <c r="A59" s="156" t="s">
        <v>662</v>
      </c>
      <c r="B59" s="157" t="s">
        <v>602</v>
      </c>
      <c r="C59" s="157" t="s">
        <v>527</v>
      </c>
      <c r="D59" s="157" t="s">
        <v>663</v>
      </c>
      <c r="E59" s="3"/>
      <c r="F59" s="3"/>
      <c r="G59" s="3"/>
      <c r="H59" s="151"/>
    </row>
    <row r="60" spans="1:8" ht="15.75" customHeight="1">
      <c r="A60" s="156" t="s">
        <v>664</v>
      </c>
      <c r="B60" s="157" t="s">
        <v>652</v>
      </c>
      <c r="C60" s="157" t="s">
        <v>527</v>
      </c>
      <c r="D60" s="157" t="s">
        <v>665</v>
      </c>
      <c r="E60" s="3"/>
      <c r="F60" s="3"/>
      <c r="G60" s="3"/>
      <c r="H60" s="151"/>
    </row>
    <row r="61" spans="1:8" ht="15.75" customHeight="1">
      <c r="A61" s="156" t="s">
        <v>666</v>
      </c>
      <c r="B61" s="157" t="s">
        <v>539</v>
      </c>
      <c r="C61" s="157" t="s">
        <v>527</v>
      </c>
      <c r="D61" s="157" t="s">
        <v>667</v>
      </c>
      <c r="E61" s="3"/>
      <c r="F61" s="3"/>
      <c r="G61" s="3"/>
      <c r="H61" s="151"/>
    </row>
    <row r="62" spans="1:8" ht="15.75" customHeight="1">
      <c r="A62" s="156" t="s">
        <v>668</v>
      </c>
      <c r="B62" s="157" t="s">
        <v>669</v>
      </c>
      <c r="C62" s="157" t="s">
        <v>527</v>
      </c>
      <c r="D62" s="157" t="s">
        <v>670</v>
      </c>
      <c r="E62" s="3"/>
      <c r="F62" s="3"/>
      <c r="G62" s="3"/>
      <c r="H62" s="151"/>
    </row>
    <row r="63" spans="1:8" ht="15.75" customHeight="1">
      <c r="A63" s="156" t="s">
        <v>671</v>
      </c>
      <c r="B63" s="157" t="s">
        <v>539</v>
      </c>
      <c r="C63" s="157" t="s">
        <v>527</v>
      </c>
      <c r="D63" s="157" t="s">
        <v>672</v>
      </c>
      <c r="E63" s="3"/>
      <c r="F63" s="3"/>
      <c r="G63" s="3"/>
      <c r="H63" s="151"/>
    </row>
    <row r="64" spans="1:8" ht="15.75" customHeight="1">
      <c r="A64" s="156" t="s">
        <v>673</v>
      </c>
      <c r="B64" s="157" t="s">
        <v>551</v>
      </c>
      <c r="C64" s="157" t="s">
        <v>527</v>
      </c>
      <c r="D64" s="157" t="s">
        <v>674</v>
      </c>
      <c r="E64" s="3"/>
      <c r="F64" s="3"/>
      <c r="G64" s="3"/>
      <c r="H64" s="151"/>
    </row>
    <row r="65" spans="1:9" ht="15.75" customHeight="1">
      <c r="A65" s="156" t="s">
        <v>675</v>
      </c>
      <c r="B65" s="157" t="s">
        <v>551</v>
      </c>
      <c r="C65" s="157" t="s">
        <v>527</v>
      </c>
      <c r="D65" s="157" t="s">
        <v>676</v>
      </c>
      <c r="E65" s="3"/>
      <c r="F65" s="3"/>
      <c r="G65" s="3"/>
      <c r="H65" s="151"/>
    </row>
    <row r="66" spans="1:9" ht="15.75" customHeight="1">
      <c r="A66" s="156" t="s">
        <v>677</v>
      </c>
      <c r="B66" s="157" t="s">
        <v>526</v>
      </c>
      <c r="C66" s="157" t="s">
        <v>520</v>
      </c>
      <c r="D66" s="157" t="s">
        <v>678</v>
      </c>
      <c r="E66" s="3"/>
      <c r="F66" s="3"/>
      <c r="G66" s="3"/>
      <c r="H66" s="151"/>
    </row>
    <row r="67" spans="1:9" ht="15.75" customHeight="1">
      <c r="A67" s="156" t="s">
        <v>679</v>
      </c>
      <c r="B67" s="157" t="s">
        <v>568</v>
      </c>
      <c r="C67" s="157" t="s">
        <v>520</v>
      </c>
      <c r="D67" s="157" t="s">
        <v>680</v>
      </c>
      <c r="E67" s="3"/>
      <c r="F67" s="3"/>
      <c r="G67" s="3"/>
      <c r="H67" s="151"/>
    </row>
    <row r="68" spans="1:9" ht="15.75" customHeight="1">
      <c r="A68" s="156" t="s">
        <v>681</v>
      </c>
      <c r="B68" s="157" t="s">
        <v>519</v>
      </c>
      <c r="C68" s="157" t="s">
        <v>520</v>
      </c>
      <c r="D68" s="157" t="s">
        <v>521</v>
      </c>
      <c r="E68" s="3"/>
      <c r="F68" s="3"/>
      <c r="G68" s="3"/>
      <c r="H68" s="151"/>
    </row>
    <row r="69" spans="1:9" ht="15.75" customHeight="1">
      <c r="A69" s="156" t="s">
        <v>682</v>
      </c>
      <c r="B69" s="157" t="s">
        <v>526</v>
      </c>
      <c r="C69" s="157" t="s">
        <v>520</v>
      </c>
      <c r="D69" s="157" t="s">
        <v>683</v>
      </c>
      <c r="E69" s="3"/>
      <c r="F69" s="3"/>
      <c r="G69" s="3"/>
      <c r="H69" s="151"/>
    </row>
    <row r="70" spans="1:9" ht="15.75" customHeight="1">
      <c r="A70" s="156" t="s">
        <v>684</v>
      </c>
      <c r="B70" s="157" t="s">
        <v>519</v>
      </c>
      <c r="C70" s="157" t="s">
        <v>520</v>
      </c>
      <c r="D70" s="157" t="s">
        <v>521</v>
      </c>
      <c r="E70" s="3"/>
      <c r="F70" s="3"/>
      <c r="G70" s="3"/>
      <c r="H70" s="151"/>
    </row>
    <row r="71" spans="1:9" ht="15.75" customHeight="1">
      <c r="A71" s="156" t="s">
        <v>685</v>
      </c>
      <c r="B71" s="157" t="s">
        <v>519</v>
      </c>
      <c r="C71" s="157" t="s">
        <v>520</v>
      </c>
      <c r="D71" s="157" t="s">
        <v>521</v>
      </c>
      <c r="E71" s="3"/>
      <c r="F71" s="3"/>
      <c r="G71" s="3"/>
      <c r="H71" s="151"/>
    </row>
    <row r="72" spans="1:9" ht="15.75" customHeight="1">
      <c r="A72" s="162" t="s">
        <v>686</v>
      </c>
      <c r="B72" s="163" t="s">
        <v>687</v>
      </c>
      <c r="C72" s="163" t="s">
        <v>520</v>
      </c>
      <c r="D72" s="163" t="s">
        <v>688</v>
      </c>
      <c r="E72" s="164"/>
      <c r="F72" s="164"/>
      <c r="G72" s="164"/>
      <c r="H72" s="165"/>
    </row>
    <row r="73" spans="1:9" ht="15.75" customHeight="1"/>
    <row r="74" spans="1:9" ht="15.75" customHeight="1">
      <c r="A74" s="166" t="s">
        <v>689</v>
      </c>
      <c r="B74" s="167" t="s">
        <v>690</v>
      </c>
      <c r="C74" s="167" t="s">
        <v>691</v>
      </c>
      <c r="D74" s="167" t="s">
        <v>692</v>
      </c>
      <c r="E74" s="167" t="s">
        <v>693</v>
      </c>
      <c r="F74" s="168" t="s">
        <v>694</v>
      </c>
      <c r="G74" s="167" t="s">
        <v>695</v>
      </c>
      <c r="H74" s="169" t="s">
        <v>696</v>
      </c>
      <c r="I74" s="13" t="s">
        <v>62</v>
      </c>
    </row>
    <row r="75" spans="1:9" ht="15.75" customHeight="1">
      <c r="A75" s="287" t="s">
        <v>697</v>
      </c>
      <c r="B75" s="170" t="s">
        <v>698</v>
      </c>
      <c r="C75" s="170" t="s">
        <v>699</v>
      </c>
      <c r="D75" s="170" t="s">
        <v>700</v>
      </c>
      <c r="E75" s="170" t="s">
        <v>701</v>
      </c>
      <c r="F75" s="171" t="s">
        <v>702</v>
      </c>
      <c r="G75" s="170" t="s">
        <v>703</v>
      </c>
      <c r="H75" s="172" t="s">
        <v>130</v>
      </c>
    </row>
    <row r="76" spans="1:9" ht="15.75" customHeight="1">
      <c r="A76" s="288"/>
      <c r="B76" s="173" t="s">
        <v>704</v>
      </c>
      <c r="C76" s="173" t="s">
        <v>705</v>
      </c>
      <c r="D76" s="173" t="s">
        <v>700</v>
      </c>
      <c r="E76" s="170" t="s">
        <v>701</v>
      </c>
      <c r="F76" s="174" t="s">
        <v>702</v>
      </c>
      <c r="G76" s="173" t="s">
        <v>706</v>
      </c>
      <c r="H76" s="175" t="s">
        <v>130</v>
      </c>
    </row>
    <row r="77" spans="1:9" ht="15.75" customHeight="1">
      <c r="A77" s="288"/>
      <c r="B77" s="176" t="s">
        <v>707</v>
      </c>
      <c r="C77" s="176" t="s">
        <v>708</v>
      </c>
      <c r="D77" s="176" t="s">
        <v>700</v>
      </c>
      <c r="E77" s="170" t="s">
        <v>701</v>
      </c>
      <c r="F77" s="177" t="s">
        <v>702</v>
      </c>
      <c r="G77" s="176" t="s">
        <v>709</v>
      </c>
      <c r="H77" s="178" t="s">
        <v>130</v>
      </c>
    </row>
    <row r="78" spans="1:9" ht="15.75" customHeight="1">
      <c r="A78" s="288"/>
      <c r="B78" s="173" t="s">
        <v>710</v>
      </c>
      <c r="C78" s="173" t="s">
        <v>711</v>
      </c>
      <c r="D78" s="173" t="s">
        <v>700</v>
      </c>
      <c r="E78" s="170" t="s">
        <v>701</v>
      </c>
      <c r="F78" s="174" t="s">
        <v>702</v>
      </c>
      <c r="G78" s="173" t="s">
        <v>709</v>
      </c>
      <c r="H78" s="175" t="s">
        <v>130</v>
      </c>
    </row>
    <row r="79" spans="1:9" ht="15.75" customHeight="1">
      <c r="A79" s="288"/>
      <c r="B79" s="176" t="s">
        <v>712</v>
      </c>
      <c r="C79" s="176" t="s">
        <v>713</v>
      </c>
      <c r="D79" s="176" t="s">
        <v>700</v>
      </c>
      <c r="E79" s="170" t="s">
        <v>701</v>
      </c>
      <c r="F79" s="177" t="s">
        <v>702</v>
      </c>
      <c r="G79" s="176" t="s">
        <v>709</v>
      </c>
      <c r="H79" s="178" t="s">
        <v>714</v>
      </c>
    </row>
    <row r="80" spans="1:9" ht="15.75" customHeight="1">
      <c r="A80" s="288"/>
      <c r="B80" s="173" t="s">
        <v>715</v>
      </c>
      <c r="C80" s="173" t="s">
        <v>716</v>
      </c>
      <c r="D80" s="173" t="s">
        <v>700</v>
      </c>
      <c r="E80" s="170" t="s">
        <v>701</v>
      </c>
      <c r="F80" s="174" t="s">
        <v>702</v>
      </c>
      <c r="G80" s="173" t="s">
        <v>709</v>
      </c>
      <c r="H80" s="175" t="s">
        <v>130</v>
      </c>
    </row>
    <row r="81" spans="1:8" ht="15.75" customHeight="1">
      <c r="A81" s="288"/>
      <c r="B81" s="176" t="s">
        <v>717</v>
      </c>
      <c r="C81" s="176" t="s">
        <v>718</v>
      </c>
      <c r="D81" s="176" t="s">
        <v>700</v>
      </c>
      <c r="E81" s="170" t="s">
        <v>701</v>
      </c>
      <c r="F81" s="177" t="s">
        <v>702</v>
      </c>
      <c r="G81" s="176" t="s">
        <v>703</v>
      </c>
      <c r="H81" s="178" t="s">
        <v>714</v>
      </c>
    </row>
    <row r="82" spans="1:8" ht="15.75" customHeight="1">
      <c r="A82" s="288"/>
      <c r="B82" s="173" t="s">
        <v>719</v>
      </c>
      <c r="C82" s="173" t="s">
        <v>720</v>
      </c>
      <c r="D82" s="173" t="s">
        <v>700</v>
      </c>
      <c r="E82" s="170" t="s">
        <v>701</v>
      </c>
      <c r="F82" s="174" t="s">
        <v>702</v>
      </c>
      <c r="G82" s="173" t="s">
        <v>703</v>
      </c>
      <c r="H82" s="175" t="s">
        <v>130</v>
      </c>
    </row>
    <row r="83" spans="1:8" ht="15.75" customHeight="1">
      <c r="A83" s="288"/>
      <c r="B83" s="176" t="s">
        <v>721</v>
      </c>
      <c r="C83" s="176" t="s">
        <v>722</v>
      </c>
      <c r="D83" s="176" t="s">
        <v>700</v>
      </c>
      <c r="E83" s="170" t="s">
        <v>701</v>
      </c>
      <c r="F83" s="177" t="s">
        <v>702</v>
      </c>
      <c r="G83" s="176" t="s">
        <v>723</v>
      </c>
      <c r="H83" s="178" t="s">
        <v>130</v>
      </c>
    </row>
    <row r="84" spans="1:8" ht="15.75" customHeight="1">
      <c r="A84" s="288"/>
      <c r="B84" s="173" t="s">
        <v>724</v>
      </c>
      <c r="C84" s="173" t="s">
        <v>725</v>
      </c>
      <c r="D84" s="173" t="s">
        <v>700</v>
      </c>
      <c r="E84" s="170" t="s">
        <v>701</v>
      </c>
      <c r="F84" s="174" t="s">
        <v>702</v>
      </c>
      <c r="G84" s="173" t="s">
        <v>726</v>
      </c>
      <c r="H84" s="175" t="s">
        <v>130</v>
      </c>
    </row>
    <row r="85" spans="1:8" ht="15.75" customHeight="1">
      <c r="A85" s="288"/>
      <c r="B85" s="176" t="s">
        <v>727</v>
      </c>
      <c r="C85" s="176" t="s">
        <v>728</v>
      </c>
      <c r="D85" s="176" t="s">
        <v>700</v>
      </c>
      <c r="E85" s="170" t="s">
        <v>701</v>
      </c>
      <c r="F85" s="177" t="s">
        <v>702</v>
      </c>
      <c r="G85" s="176" t="s">
        <v>709</v>
      </c>
      <c r="H85" s="178" t="s">
        <v>130</v>
      </c>
    </row>
    <row r="86" spans="1:8" ht="15.75" customHeight="1">
      <c r="A86" s="288"/>
      <c r="B86" s="173" t="s">
        <v>729</v>
      </c>
      <c r="C86" s="173" t="s">
        <v>730</v>
      </c>
      <c r="D86" s="173" t="s">
        <v>700</v>
      </c>
      <c r="E86" s="170" t="s">
        <v>701</v>
      </c>
      <c r="F86" s="174" t="s">
        <v>702</v>
      </c>
      <c r="G86" s="173" t="s">
        <v>726</v>
      </c>
      <c r="H86" s="175" t="s">
        <v>130</v>
      </c>
    </row>
    <row r="87" spans="1:8" ht="15.75" customHeight="1">
      <c r="A87" s="288"/>
      <c r="B87" s="176" t="s">
        <v>731</v>
      </c>
      <c r="C87" s="176" t="s">
        <v>732</v>
      </c>
      <c r="D87" s="176" t="s">
        <v>700</v>
      </c>
      <c r="E87" s="170" t="s">
        <v>701</v>
      </c>
      <c r="F87" s="177" t="s">
        <v>702</v>
      </c>
      <c r="G87" s="176" t="s">
        <v>709</v>
      </c>
      <c r="H87" s="178" t="s">
        <v>130</v>
      </c>
    </row>
    <row r="88" spans="1:8" ht="15.75" customHeight="1">
      <c r="A88" s="288"/>
      <c r="B88" s="173" t="s">
        <v>733</v>
      </c>
      <c r="C88" s="173" t="s">
        <v>734</v>
      </c>
      <c r="D88" s="173" t="s">
        <v>700</v>
      </c>
      <c r="E88" s="170" t="s">
        <v>701</v>
      </c>
      <c r="F88" s="174" t="s">
        <v>702</v>
      </c>
      <c r="G88" s="173" t="s">
        <v>735</v>
      </c>
      <c r="H88" s="175" t="s">
        <v>130</v>
      </c>
    </row>
    <row r="89" spans="1:8" ht="15.75" customHeight="1">
      <c r="A89" s="288"/>
      <c r="B89" s="176" t="s">
        <v>736</v>
      </c>
      <c r="C89" s="176" t="s">
        <v>737</v>
      </c>
      <c r="D89" s="176" t="s">
        <v>700</v>
      </c>
      <c r="E89" s="170" t="s">
        <v>701</v>
      </c>
      <c r="F89" s="177" t="s">
        <v>702</v>
      </c>
      <c r="G89" s="176" t="s">
        <v>703</v>
      </c>
      <c r="H89" s="178" t="s">
        <v>130</v>
      </c>
    </row>
    <row r="90" spans="1:8" ht="15.75" customHeight="1">
      <c r="A90" s="288"/>
      <c r="B90" s="173" t="s">
        <v>738</v>
      </c>
      <c r="C90" s="173" t="s">
        <v>739</v>
      </c>
      <c r="D90" s="173" t="s">
        <v>700</v>
      </c>
      <c r="E90" s="170" t="s">
        <v>701</v>
      </c>
      <c r="F90" s="174" t="s">
        <v>702</v>
      </c>
      <c r="G90" s="173" t="s">
        <v>740</v>
      </c>
      <c r="H90" s="175" t="s">
        <v>130</v>
      </c>
    </row>
    <row r="91" spans="1:8" ht="15.75" customHeight="1">
      <c r="A91" s="288"/>
      <c r="B91" s="176" t="s">
        <v>741</v>
      </c>
      <c r="C91" s="176" t="s">
        <v>742</v>
      </c>
      <c r="D91" s="176" t="s">
        <v>700</v>
      </c>
      <c r="E91" s="170" t="s">
        <v>701</v>
      </c>
      <c r="F91" s="177" t="s">
        <v>702</v>
      </c>
      <c r="G91" s="176" t="s">
        <v>703</v>
      </c>
      <c r="H91" s="178" t="s">
        <v>130</v>
      </c>
    </row>
    <row r="92" spans="1:8" ht="15.75" customHeight="1">
      <c r="A92" s="288"/>
      <c r="B92" s="173" t="s">
        <v>743</v>
      </c>
      <c r="C92" s="173" t="s">
        <v>744</v>
      </c>
      <c r="D92" s="173" t="s">
        <v>700</v>
      </c>
      <c r="E92" s="170" t="s">
        <v>701</v>
      </c>
      <c r="F92" s="174" t="s">
        <v>702</v>
      </c>
      <c r="G92" s="173" t="s">
        <v>745</v>
      </c>
      <c r="H92" s="175" t="s">
        <v>130</v>
      </c>
    </row>
    <row r="93" spans="1:8" ht="15.75" customHeight="1">
      <c r="A93" s="288"/>
      <c r="B93" s="176" t="s">
        <v>746</v>
      </c>
      <c r="C93" s="176" t="s">
        <v>747</v>
      </c>
      <c r="D93" s="176" t="s">
        <v>700</v>
      </c>
      <c r="E93" s="170" t="s">
        <v>701</v>
      </c>
      <c r="F93" s="177" t="s">
        <v>702</v>
      </c>
      <c r="G93" s="176" t="s">
        <v>709</v>
      </c>
      <c r="H93" s="178" t="s">
        <v>130</v>
      </c>
    </row>
    <row r="94" spans="1:8" ht="15.75" customHeight="1">
      <c r="A94" s="288"/>
      <c r="B94" s="173" t="s">
        <v>748</v>
      </c>
      <c r="C94" s="179" t="s">
        <v>749</v>
      </c>
      <c r="D94" s="173" t="s">
        <v>700</v>
      </c>
      <c r="E94" s="170" t="s">
        <v>701</v>
      </c>
      <c r="F94" s="174" t="s">
        <v>702</v>
      </c>
      <c r="G94" s="173" t="s">
        <v>703</v>
      </c>
      <c r="H94" s="175" t="s">
        <v>130</v>
      </c>
    </row>
    <row r="95" spans="1:8" ht="15.75" customHeight="1">
      <c r="A95" s="288"/>
      <c r="B95" s="176" t="s">
        <v>750</v>
      </c>
      <c r="C95" s="176" t="s">
        <v>751</v>
      </c>
      <c r="D95" s="176" t="s">
        <v>700</v>
      </c>
      <c r="E95" s="170" t="s">
        <v>701</v>
      </c>
      <c r="F95" s="177" t="s">
        <v>702</v>
      </c>
      <c r="G95" s="176" t="s">
        <v>703</v>
      </c>
      <c r="H95" s="178" t="s">
        <v>130</v>
      </c>
    </row>
    <row r="96" spans="1:8" ht="15.75" customHeight="1">
      <c r="A96" s="288"/>
      <c r="B96" s="173" t="s">
        <v>752</v>
      </c>
      <c r="C96" s="173" t="s">
        <v>753</v>
      </c>
      <c r="D96" s="173" t="s">
        <v>700</v>
      </c>
      <c r="E96" s="170" t="s">
        <v>701</v>
      </c>
      <c r="F96" s="174" t="s">
        <v>702</v>
      </c>
      <c r="G96" s="173" t="s">
        <v>703</v>
      </c>
      <c r="H96" s="175" t="s">
        <v>130</v>
      </c>
    </row>
    <row r="97" spans="1:8" ht="15.75" customHeight="1">
      <c r="A97" s="288"/>
      <c r="B97" s="176" t="s">
        <v>754</v>
      </c>
      <c r="C97" s="176" t="s">
        <v>755</v>
      </c>
      <c r="D97" s="176" t="s">
        <v>700</v>
      </c>
      <c r="E97" s="170" t="s">
        <v>701</v>
      </c>
      <c r="F97" s="177" t="s">
        <v>702</v>
      </c>
      <c r="G97" s="176" t="s">
        <v>703</v>
      </c>
      <c r="H97" s="178" t="s">
        <v>130</v>
      </c>
    </row>
    <row r="98" spans="1:8" ht="15.75" customHeight="1">
      <c r="A98" s="288"/>
      <c r="B98" s="173" t="s">
        <v>756</v>
      </c>
      <c r="C98" s="173" t="s">
        <v>757</v>
      </c>
      <c r="D98" s="173" t="s">
        <v>700</v>
      </c>
      <c r="E98" s="170" t="s">
        <v>701</v>
      </c>
      <c r="F98" s="174" t="s">
        <v>702</v>
      </c>
      <c r="G98" s="173" t="s">
        <v>703</v>
      </c>
      <c r="H98" s="175" t="s">
        <v>130</v>
      </c>
    </row>
    <row r="99" spans="1:8" ht="15.75" customHeight="1">
      <c r="A99" s="288"/>
      <c r="B99" s="176" t="s">
        <v>758</v>
      </c>
      <c r="C99" s="176" t="s">
        <v>759</v>
      </c>
      <c r="D99" s="176" t="s">
        <v>700</v>
      </c>
      <c r="E99" s="170" t="s">
        <v>701</v>
      </c>
      <c r="F99" s="177" t="s">
        <v>702</v>
      </c>
      <c r="G99" s="176" t="s">
        <v>709</v>
      </c>
      <c r="H99" s="178" t="s">
        <v>130</v>
      </c>
    </row>
    <row r="100" spans="1:8" ht="15.75" customHeight="1">
      <c r="A100" s="288"/>
      <c r="B100" s="173" t="s">
        <v>760</v>
      </c>
      <c r="C100" s="173" t="s">
        <v>761</v>
      </c>
      <c r="D100" s="173" t="s">
        <v>700</v>
      </c>
      <c r="E100" s="170" t="s">
        <v>701</v>
      </c>
      <c r="F100" s="174" t="s">
        <v>702</v>
      </c>
      <c r="G100" s="173" t="s">
        <v>709</v>
      </c>
      <c r="H100" s="175" t="s">
        <v>130</v>
      </c>
    </row>
    <row r="101" spans="1:8" ht="15.75" customHeight="1">
      <c r="A101" s="288"/>
      <c r="B101" s="176" t="s">
        <v>762</v>
      </c>
      <c r="C101" s="176" t="s">
        <v>763</v>
      </c>
      <c r="D101" s="176" t="s">
        <v>700</v>
      </c>
      <c r="E101" s="170" t="s">
        <v>701</v>
      </c>
      <c r="F101" s="177" t="s">
        <v>702</v>
      </c>
      <c r="G101" s="176" t="s">
        <v>703</v>
      </c>
      <c r="H101" s="178" t="s">
        <v>130</v>
      </c>
    </row>
    <row r="102" spans="1:8" ht="15.75" customHeight="1">
      <c r="A102" s="288"/>
      <c r="B102" s="173" t="s">
        <v>764</v>
      </c>
      <c r="C102" s="173" t="s">
        <v>765</v>
      </c>
      <c r="D102" s="173" t="s">
        <v>700</v>
      </c>
      <c r="E102" s="170" t="s">
        <v>701</v>
      </c>
      <c r="F102" s="174" t="s">
        <v>702</v>
      </c>
      <c r="G102" s="173" t="s">
        <v>703</v>
      </c>
      <c r="H102" s="175" t="s">
        <v>130</v>
      </c>
    </row>
    <row r="103" spans="1:8" ht="15.75" customHeight="1">
      <c r="A103" s="288"/>
      <c r="B103" s="176" t="s">
        <v>766</v>
      </c>
      <c r="C103" s="176" t="s">
        <v>767</v>
      </c>
      <c r="D103" s="176" t="s">
        <v>700</v>
      </c>
      <c r="E103" s="170" t="s">
        <v>701</v>
      </c>
      <c r="F103" s="177" t="s">
        <v>702</v>
      </c>
      <c r="G103" s="176" t="s">
        <v>703</v>
      </c>
      <c r="H103" s="178" t="s">
        <v>130</v>
      </c>
    </row>
    <row r="104" spans="1:8" ht="15.75" customHeight="1">
      <c r="A104" s="288"/>
      <c r="B104" s="173" t="s">
        <v>768</v>
      </c>
      <c r="C104" s="173" t="s">
        <v>769</v>
      </c>
      <c r="D104" s="173" t="s">
        <v>700</v>
      </c>
      <c r="E104" s="170" t="s">
        <v>701</v>
      </c>
      <c r="F104" s="174" t="s">
        <v>702</v>
      </c>
      <c r="G104" s="173" t="s">
        <v>726</v>
      </c>
      <c r="H104" s="175" t="s">
        <v>130</v>
      </c>
    </row>
    <row r="105" spans="1:8" ht="15.75" customHeight="1">
      <c r="A105" s="288"/>
      <c r="B105" s="176" t="s">
        <v>770</v>
      </c>
      <c r="C105" s="176" t="s">
        <v>771</v>
      </c>
      <c r="D105" s="176" t="s">
        <v>700</v>
      </c>
      <c r="E105" s="170" t="s">
        <v>701</v>
      </c>
      <c r="F105" s="177" t="s">
        <v>702</v>
      </c>
      <c r="G105" s="176" t="s">
        <v>709</v>
      </c>
      <c r="H105" s="178" t="s">
        <v>130</v>
      </c>
    </row>
    <row r="106" spans="1:8" ht="15.75" customHeight="1">
      <c r="A106" s="288"/>
      <c r="B106" s="173" t="s">
        <v>772</v>
      </c>
      <c r="C106" s="173" t="s">
        <v>773</v>
      </c>
      <c r="D106" s="173" t="s">
        <v>700</v>
      </c>
      <c r="E106" s="170" t="s">
        <v>701</v>
      </c>
      <c r="F106" s="174" t="s">
        <v>702</v>
      </c>
      <c r="G106" s="173" t="s">
        <v>709</v>
      </c>
      <c r="H106" s="175" t="s">
        <v>130</v>
      </c>
    </row>
    <row r="107" spans="1:8" ht="15.75" customHeight="1">
      <c r="A107" s="288"/>
      <c r="B107" s="176" t="s">
        <v>774</v>
      </c>
      <c r="C107" s="176" t="s">
        <v>775</v>
      </c>
      <c r="D107" s="176" t="s">
        <v>700</v>
      </c>
      <c r="E107" s="170" t="s">
        <v>701</v>
      </c>
      <c r="F107" s="177" t="s">
        <v>702</v>
      </c>
      <c r="G107" s="176" t="s">
        <v>706</v>
      </c>
      <c r="H107" s="178" t="s">
        <v>776</v>
      </c>
    </row>
    <row r="108" spans="1:8" ht="15.75" customHeight="1">
      <c r="A108" s="288"/>
      <c r="B108" s="173" t="s">
        <v>777</v>
      </c>
      <c r="C108" s="173" t="s">
        <v>778</v>
      </c>
      <c r="D108" s="173" t="s">
        <v>700</v>
      </c>
      <c r="E108" s="170" t="s">
        <v>701</v>
      </c>
      <c r="F108" s="174" t="s">
        <v>702</v>
      </c>
      <c r="G108" s="173" t="s">
        <v>703</v>
      </c>
      <c r="H108" s="175" t="s">
        <v>130</v>
      </c>
    </row>
    <row r="109" spans="1:8" ht="15.75" customHeight="1">
      <c r="A109" s="288"/>
      <c r="B109" s="176" t="s">
        <v>779</v>
      </c>
      <c r="C109" s="176" t="s">
        <v>780</v>
      </c>
      <c r="D109" s="176" t="s">
        <v>700</v>
      </c>
      <c r="E109" s="170" t="s">
        <v>701</v>
      </c>
      <c r="F109" s="177" t="s">
        <v>702</v>
      </c>
      <c r="G109" s="176" t="s">
        <v>703</v>
      </c>
      <c r="H109" s="178" t="s">
        <v>130</v>
      </c>
    </row>
    <row r="110" spans="1:8" ht="15.75" customHeight="1">
      <c r="A110" s="288"/>
      <c r="B110" s="173" t="s">
        <v>781</v>
      </c>
      <c r="C110" s="173" t="s">
        <v>782</v>
      </c>
      <c r="D110" s="173" t="s">
        <v>700</v>
      </c>
      <c r="E110" s="170" t="s">
        <v>701</v>
      </c>
      <c r="F110" s="174" t="s">
        <v>702</v>
      </c>
      <c r="G110" s="173" t="s">
        <v>703</v>
      </c>
      <c r="H110" s="175" t="s">
        <v>130</v>
      </c>
    </row>
    <row r="111" spans="1:8" ht="15.75" customHeight="1">
      <c r="A111" s="288"/>
      <c r="B111" s="176" t="s">
        <v>783</v>
      </c>
      <c r="C111" s="176" t="s">
        <v>784</v>
      </c>
      <c r="D111" s="176" t="s">
        <v>700</v>
      </c>
      <c r="E111" s="170" t="s">
        <v>701</v>
      </c>
      <c r="F111" s="177" t="s">
        <v>702</v>
      </c>
      <c r="G111" s="176" t="s">
        <v>703</v>
      </c>
      <c r="H111" s="178" t="s">
        <v>130</v>
      </c>
    </row>
    <row r="112" spans="1:8" ht="15.75" customHeight="1">
      <c r="A112" s="288"/>
      <c r="B112" s="173" t="s">
        <v>785</v>
      </c>
      <c r="C112" s="173" t="s">
        <v>786</v>
      </c>
      <c r="D112" s="173" t="s">
        <v>700</v>
      </c>
      <c r="E112" s="170" t="s">
        <v>701</v>
      </c>
      <c r="F112" s="174" t="s">
        <v>702</v>
      </c>
      <c r="G112" s="173" t="s">
        <v>723</v>
      </c>
      <c r="H112" s="175" t="s">
        <v>130</v>
      </c>
    </row>
    <row r="113" spans="1:8" ht="15.75" customHeight="1">
      <c r="A113" s="288"/>
      <c r="B113" s="176" t="s">
        <v>787</v>
      </c>
      <c r="C113" s="176" t="s">
        <v>788</v>
      </c>
      <c r="D113" s="176" t="s">
        <v>700</v>
      </c>
      <c r="E113" s="170" t="s">
        <v>701</v>
      </c>
      <c r="F113" s="177" t="s">
        <v>702</v>
      </c>
      <c r="G113" s="176" t="s">
        <v>726</v>
      </c>
      <c r="H113" s="178" t="s">
        <v>130</v>
      </c>
    </row>
    <row r="114" spans="1:8" ht="15.75" customHeight="1">
      <c r="A114" s="289"/>
      <c r="B114" s="173" t="s">
        <v>789</v>
      </c>
      <c r="C114" s="173" t="s">
        <v>790</v>
      </c>
      <c r="D114" s="173" t="s">
        <v>700</v>
      </c>
      <c r="E114" s="170" t="s">
        <v>701</v>
      </c>
      <c r="F114" s="174" t="s">
        <v>702</v>
      </c>
      <c r="G114" s="173" t="s">
        <v>709</v>
      </c>
      <c r="H114" s="175" t="s">
        <v>130</v>
      </c>
    </row>
    <row r="115" spans="1:8" ht="15.75" customHeight="1">
      <c r="A115" s="287" t="s">
        <v>791</v>
      </c>
      <c r="B115" s="176" t="s">
        <v>792</v>
      </c>
      <c r="C115" s="176" t="s">
        <v>793</v>
      </c>
      <c r="D115" s="176" t="s">
        <v>700</v>
      </c>
      <c r="E115" s="170" t="s">
        <v>701</v>
      </c>
      <c r="F115" s="177" t="s">
        <v>702</v>
      </c>
      <c r="G115" s="176" t="s">
        <v>703</v>
      </c>
      <c r="H115" s="178" t="s">
        <v>130</v>
      </c>
    </row>
    <row r="116" spans="1:8" ht="15.75" customHeight="1">
      <c r="A116" s="288"/>
      <c r="B116" s="173" t="s">
        <v>794</v>
      </c>
      <c r="C116" s="173" t="s">
        <v>795</v>
      </c>
      <c r="D116" s="173" t="s">
        <v>700</v>
      </c>
      <c r="E116" s="170" t="s">
        <v>701</v>
      </c>
      <c r="F116" s="174" t="s">
        <v>702</v>
      </c>
      <c r="G116" s="173" t="s">
        <v>703</v>
      </c>
      <c r="H116" s="175" t="s">
        <v>130</v>
      </c>
    </row>
    <row r="117" spans="1:8" ht="15.75" customHeight="1">
      <c r="A117" s="288"/>
      <c r="B117" s="176" t="s">
        <v>796</v>
      </c>
      <c r="C117" s="176" t="s">
        <v>797</v>
      </c>
      <c r="D117" s="176" t="s">
        <v>700</v>
      </c>
      <c r="E117" s="170" t="s">
        <v>701</v>
      </c>
      <c r="F117" s="177" t="s">
        <v>702</v>
      </c>
      <c r="G117" s="176" t="s">
        <v>723</v>
      </c>
      <c r="H117" s="178" t="s">
        <v>130</v>
      </c>
    </row>
    <row r="118" spans="1:8" ht="15.75" customHeight="1">
      <c r="A118" s="289"/>
      <c r="B118" s="173" t="s">
        <v>798</v>
      </c>
      <c r="C118" s="173" t="s">
        <v>799</v>
      </c>
      <c r="D118" s="173" t="s">
        <v>700</v>
      </c>
      <c r="E118" s="170" t="s">
        <v>701</v>
      </c>
      <c r="F118" s="174" t="s">
        <v>702</v>
      </c>
      <c r="G118" s="173" t="s">
        <v>709</v>
      </c>
      <c r="H118" s="175" t="s">
        <v>130</v>
      </c>
    </row>
    <row r="119" spans="1:8" ht="15.75" customHeight="1">
      <c r="A119" s="287" t="s">
        <v>800</v>
      </c>
      <c r="B119" s="176" t="s">
        <v>801</v>
      </c>
      <c r="C119" s="176" t="s">
        <v>802</v>
      </c>
      <c r="D119" s="176" t="s">
        <v>700</v>
      </c>
      <c r="E119" s="176" t="s">
        <v>803</v>
      </c>
      <c r="F119" s="177" t="s">
        <v>702</v>
      </c>
      <c r="G119" s="176" t="s">
        <v>703</v>
      </c>
      <c r="H119" s="178" t="s">
        <v>130</v>
      </c>
    </row>
    <row r="120" spans="1:8" ht="15.75" customHeight="1">
      <c r="A120" s="288"/>
      <c r="B120" s="173" t="s">
        <v>804</v>
      </c>
      <c r="C120" s="173" t="s">
        <v>805</v>
      </c>
      <c r="D120" s="173" t="s">
        <v>700</v>
      </c>
      <c r="E120" s="176" t="s">
        <v>803</v>
      </c>
      <c r="F120" s="174" t="s">
        <v>702</v>
      </c>
      <c r="G120" s="173" t="s">
        <v>709</v>
      </c>
      <c r="H120" s="175" t="s">
        <v>130</v>
      </c>
    </row>
    <row r="121" spans="1:8" ht="15.75" customHeight="1">
      <c r="A121" s="289"/>
      <c r="B121" s="176" t="s">
        <v>806</v>
      </c>
      <c r="C121" s="176" t="s">
        <v>807</v>
      </c>
      <c r="D121" s="176" t="s">
        <v>700</v>
      </c>
      <c r="E121" s="176" t="s">
        <v>803</v>
      </c>
      <c r="F121" s="177" t="s">
        <v>702</v>
      </c>
      <c r="G121" s="176" t="s">
        <v>808</v>
      </c>
      <c r="H121" s="178" t="s">
        <v>130</v>
      </c>
    </row>
    <row r="122" spans="1:8" ht="15.75" customHeight="1">
      <c r="A122" s="180" t="s">
        <v>809</v>
      </c>
      <c r="B122" s="173" t="s">
        <v>810</v>
      </c>
      <c r="C122" s="173" t="s">
        <v>811</v>
      </c>
      <c r="D122" s="173" t="s">
        <v>700</v>
      </c>
      <c r="E122" s="176" t="s">
        <v>701</v>
      </c>
      <c r="F122" s="174" t="s">
        <v>702</v>
      </c>
      <c r="G122" s="173" t="s">
        <v>812</v>
      </c>
      <c r="H122" s="175" t="s">
        <v>130</v>
      </c>
    </row>
    <row r="123" spans="1:8" ht="15.75" customHeight="1">
      <c r="A123" s="287" t="s">
        <v>813</v>
      </c>
      <c r="B123" s="176" t="s">
        <v>814</v>
      </c>
      <c r="C123" s="176" t="s">
        <v>815</v>
      </c>
      <c r="D123" s="176" t="s">
        <v>700</v>
      </c>
      <c r="E123" s="170" t="s">
        <v>701</v>
      </c>
      <c r="F123" s="177" t="s">
        <v>702</v>
      </c>
      <c r="G123" s="176" t="s">
        <v>703</v>
      </c>
      <c r="H123" s="178" t="s">
        <v>130</v>
      </c>
    </row>
    <row r="124" spans="1:8" ht="15.75" customHeight="1">
      <c r="A124" s="288"/>
      <c r="B124" s="173" t="s">
        <v>816</v>
      </c>
      <c r="C124" s="173" t="s">
        <v>817</v>
      </c>
      <c r="D124" s="173" t="s">
        <v>818</v>
      </c>
      <c r="E124" s="170" t="s">
        <v>701</v>
      </c>
      <c r="F124" s="174" t="s">
        <v>702</v>
      </c>
      <c r="G124" s="173" t="s">
        <v>706</v>
      </c>
      <c r="H124" s="175" t="s">
        <v>130</v>
      </c>
    </row>
    <row r="125" spans="1:8" ht="15.75" customHeight="1">
      <c r="A125" s="288"/>
      <c r="B125" s="176" t="s">
        <v>819</v>
      </c>
      <c r="C125" s="176" t="s">
        <v>820</v>
      </c>
      <c r="D125" s="176" t="s">
        <v>818</v>
      </c>
      <c r="E125" s="170" t="s">
        <v>701</v>
      </c>
      <c r="F125" s="177" t="s">
        <v>702</v>
      </c>
      <c r="G125" s="176" t="s">
        <v>723</v>
      </c>
      <c r="H125" s="178" t="s">
        <v>130</v>
      </c>
    </row>
    <row r="126" spans="1:8" ht="15.75" customHeight="1">
      <c r="A126" s="288"/>
      <c r="B126" s="173" t="s">
        <v>821</v>
      </c>
      <c r="C126" s="173" t="s">
        <v>822</v>
      </c>
      <c r="D126" s="173" t="s">
        <v>818</v>
      </c>
      <c r="E126" s="170" t="s">
        <v>701</v>
      </c>
      <c r="F126" s="174" t="s">
        <v>702</v>
      </c>
      <c r="G126" s="173" t="s">
        <v>703</v>
      </c>
      <c r="H126" s="175" t="s">
        <v>130</v>
      </c>
    </row>
    <row r="127" spans="1:8" ht="15.75" customHeight="1">
      <c r="A127" s="288"/>
      <c r="B127" s="176" t="s">
        <v>823</v>
      </c>
      <c r="C127" s="176" t="s">
        <v>824</v>
      </c>
      <c r="D127" s="176" t="s">
        <v>818</v>
      </c>
      <c r="E127" s="170" t="s">
        <v>701</v>
      </c>
      <c r="F127" s="177" t="s">
        <v>702</v>
      </c>
      <c r="G127" s="176" t="s">
        <v>703</v>
      </c>
      <c r="H127" s="178" t="s">
        <v>130</v>
      </c>
    </row>
    <row r="128" spans="1:8" ht="15.75" customHeight="1">
      <c r="A128" s="288"/>
      <c r="B128" s="173" t="s">
        <v>825</v>
      </c>
      <c r="C128" s="173" t="s">
        <v>826</v>
      </c>
      <c r="D128" s="173" t="s">
        <v>818</v>
      </c>
      <c r="E128" s="170" t="s">
        <v>701</v>
      </c>
      <c r="F128" s="174" t="s">
        <v>702</v>
      </c>
      <c r="G128" s="173" t="s">
        <v>726</v>
      </c>
      <c r="H128" s="175" t="s">
        <v>130</v>
      </c>
    </row>
    <row r="129" spans="1:8" ht="15.75" customHeight="1">
      <c r="A129" s="288"/>
      <c r="B129" s="176" t="s">
        <v>827</v>
      </c>
      <c r="C129" s="176" t="s">
        <v>828</v>
      </c>
      <c r="D129" s="176" t="s">
        <v>818</v>
      </c>
      <c r="E129" s="170" t="s">
        <v>701</v>
      </c>
      <c r="F129" s="177" t="s">
        <v>702</v>
      </c>
      <c r="G129" s="176" t="s">
        <v>703</v>
      </c>
      <c r="H129" s="178" t="s">
        <v>130</v>
      </c>
    </row>
    <row r="130" spans="1:8" ht="15.75" customHeight="1">
      <c r="A130" s="288"/>
      <c r="B130" s="173" t="s">
        <v>829</v>
      </c>
      <c r="C130" s="173" t="s">
        <v>830</v>
      </c>
      <c r="D130" s="173" t="s">
        <v>818</v>
      </c>
      <c r="E130" s="170" t="s">
        <v>701</v>
      </c>
      <c r="F130" s="174" t="s">
        <v>702</v>
      </c>
      <c r="G130" s="173" t="s">
        <v>709</v>
      </c>
      <c r="H130" s="175" t="s">
        <v>130</v>
      </c>
    </row>
    <row r="131" spans="1:8" ht="15.75" customHeight="1">
      <c r="A131" s="288"/>
      <c r="B131" s="176" t="s">
        <v>831</v>
      </c>
      <c r="C131" s="176" t="s">
        <v>832</v>
      </c>
      <c r="D131" s="176" t="s">
        <v>818</v>
      </c>
      <c r="E131" s="170" t="s">
        <v>701</v>
      </c>
      <c r="F131" s="177" t="s">
        <v>702</v>
      </c>
      <c r="G131" s="176" t="s">
        <v>709</v>
      </c>
      <c r="H131" s="178" t="s">
        <v>130</v>
      </c>
    </row>
    <row r="132" spans="1:8" ht="15.75" customHeight="1">
      <c r="A132" s="288"/>
      <c r="B132" s="173" t="s">
        <v>833</v>
      </c>
      <c r="C132" s="173" t="s">
        <v>834</v>
      </c>
      <c r="D132" s="173" t="s">
        <v>818</v>
      </c>
      <c r="E132" s="170" t="s">
        <v>701</v>
      </c>
      <c r="F132" s="174" t="s">
        <v>702</v>
      </c>
      <c r="G132" s="173" t="s">
        <v>703</v>
      </c>
      <c r="H132" s="175" t="s">
        <v>835</v>
      </c>
    </row>
    <row r="133" spans="1:8" ht="15.75" customHeight="1">
      <c r="A133" s="288"/>
      <c r="B133" s="176" t="s">
        <v>836</v>
      </c>
      <c r="C133" s="176" t="s">
        <v>837</v>
      </c>
      <c r="D133" s="176" t="s">
        <v>818</v>
      </c>
      <c r="E133" s="170" t="s">
        <v>701</v>
      </c>
      <c r="F133" s="177" t="s">
        <v>702</v>
      </c>
      <c r="G133" s="176" t="s">
        <v>703</v>
      </c>
      <c r="H133" s="178" t="s">
        <v>130</v>
      </c>
    </row>
    <row r="134" spans="1:8" ht="15.75" customHeight="1">
      <c r="A134" s="288"/>
      <c r="B134" s="173" t="s">
        <v>838</v>
      </c>
      <c r="C134" s="173" t="s">
        <v>839</v>
      </c>
      <c r="D134" s="173" t="s">
        <v>818</v>
      </c>
      <c r="E134" s="170" t="s">
        <v>701</v>
      </c>
      <c r="F134" s="174" t="s">
        <v>702</v>
      </c>
      <c r="G134" s="173" t="s">
        <v>703</v>
      </c>
      <c r="H134" s="175" t="s">
        <v>130</v>
      </c>
    </row>
    <row r="135" spans="1:8" ht="15.75" customHeight="1">
      <c r="A135" s="288"/>
      <c r="B135" s="176" t="s">
        <v>840</v>
      </c>
      <c r="C135" s="176" t="s">
        <v>841</v>
      </c>
      <c r="D135" s="176" t="s">
        <v>818</v>
      </c>
      <c r="E135" s="170" t="s">
        <v>701</v>
      </c>
      <c r="F135" s="177" t="s">
        <v>702</v>
      </c>
      <c r="G135" s="176" t="s">
        <v>709</v>
      </c>
      <c r="H135" s="178" t="s">
        <v>130</v>
      </c>
    </row>
    <row r="136" spans="1:8" ht="15.75" customHeight="1">
      <c r="A136" s="288"/>
      <c r="B136" s="173" t="s">
        <v>842</v>
      </c>
      <c r="C136" s="173" t="s">
        <v>843</v>
      </c>
      <c r="D136" s="173" t="s">
        <v>818</v>
      </c>
      <c r="E136" s="170" t="s">
        <v>701</v>
      </c>
      <c r="F136" s="174" t="s">
        <v>702</v>
      </c>
      <c r="G136" s="173" t="s">
        <v>844</v>
      </c>
      <c r="H136" s="175" t="s">
        <v>130</v>
      </c>
    </row>
    <row r="137" spans="1:8" ht="15.75" customHeight="1">
      <c r="A137" s="288"/>
      <c r="B137" s="176" t="s">
        <v>845</v>
      </c>
      <c r="C137" s="176" t="s">
        <v>846</v>
      </c>
      <c r="D137" s="176" t="s">
        <v>818</v>
      </c>
      <c r="E137" s="170" t="s">
        <v>701</v>
      </c>
      <c r="F137" s="177" t="s">
        <v>702</v>
      </c>
      <c r="G137" s="176" t="s">
        <v>703</v>
      </c>
      <c r="H137" s="178" t="s">
        <v>130</v>
      </c>
    </row>
    <row r="138" spans="1:8" ht="15.75" customHeight="1">
      <c r="A138" s="288"/>
      <c r="B138" s="173" t="s">
        <v>847</v>
      </c>
      <c r="C138" s="173" t="s">
        <v>848</v>
      </c>
      <c r="D138" s="173" t="s">
        <v>818</v>
      </c>
      <c r="E138" s="170" t="s">
        <v>701</v>
      </c>
      <c r="F138" s="174" t="s">
        <v>702</v>
      </c>
      <c r="G138" s="173" t="s">
        <v>709</v>
      </c>
      <c r="H138" s="175" t="s">
        <v>130</v>
      </c>
    </row>
    <row r="139" spans="1:8" ht="15.75" customHeight="1">
      <c r="A139" s="288"/>
      <c r="B139" s="176" t="s">
        <v>849</v>
      </c>
      <c r="C139" s="176" t="s">
        <v>850</v>
      </c>
      <c r="D139" s="176" t="s">
        <v>818</v>
      </c>
      <c r="E139" s="170" t="s">
        <v>701</v>
      </c>
      <c r="F139" s="177" t="s">
        <v>702</v>
      </c>
      <c r="G139" s="176" t="s">
        <v>703</v>
      </c>
      <c r="H139" s="178" t="s">
        <v>130</v>
      </c>
    </row>
    <row r="140" spans="1:8" ht="15.75" customHeight="1">
      <c r="A140" s="288"/>
      <c r="B140" s="173" t="s">
        <v>851</v>
      </c>
      <c r="C140" s="173" t="s">
        <v>852</v>
      </c>
      <c r="D140" s="173" t="s">
        <v>818</v>
      </c>
      <c r="E140" s="170" t="s">
        <v>701</v>
      </c>
      <c r="F140" s="174" t="s">
        <v>702</v>
      </c>
      <c r="G140" s="173" t="s">
        <v>853</v>
      </c>
      <c r="H140" s="175" t="s">
        <v>130</v>
      </c>
    </row>
    <row r="141" spans="1:8" ht="15.75" customHeight="1">
      <c r="A141" s="288"/>
      <c r="B141" s="176" t="s">
        <v>854</v>
      </c>
      <c r="C141" s="176" t="s">
        <v>855</v>
      </c>
      <c r="D141" s="176" t="s">
        <v>818</v>
      </c>
      <c r="E141" s="170" t="s">
        <v>701</v>
      </c>
      <c r="F141" s="177" t="s">
        <v>702</v>
      </c>
      <c r="G141" s="176" t="s">
        <v>709</v>
      </c>
      <c r="H141" s="178" t="s">
        <v>130</v>
      </c>
    </row>
    <row r="142" spans="1:8" ht="15.75" customHeight="1">
      <c r="A142" s="288"/>
      <c r="B142" s="173" t="s">
        <v>856</v>
      </c>
      <c r="C142" s="173" t="s">
        <v>857</v>
      </c>
      <c r="D142" s="173" t="s">
        <v>818</v>
      </c>
      <c r="E142" s="170" t="s">
        <v>701</v>
      </c>
      <c r="F142" s="174" t="s">
        <v>702</v>
      </c>
      <c r="G142" s="173" t="s">
        <v>706</v>
      </c>
      <c r="H142" s="175" t="s">
        <v>130</v>
      </c>
    </row>
    <row r="143" spans="1:8" ht="15.75" customHeight="1">
      <c r="A143" s="288"/>
      <c r="B143" s="176" t="s">
        <v>858</v>
      </c>
      <c r="C143" s="176" t="s">
        <v>859</v>
      </c>
      <c r="D143" s="176" t="s">
        <v>818</v>
      </c>
      <c r="E143" s="170" t="s">
        <v>701</v>
      </c>
      <c r="F143" s="177" t="s">
        <v>702</v>
      </c>
      <c r="G143" s="176" t="s">
        <v>703</v>
      </c>
      <c r="H143" s="178" t="s">
        <v>130</v>
      </c>
    </row>
    <row r="144" spans="1:8" ht="15.75" customHeight="1">
      <c r="A144" s="288"/>
      <c r="B144" s="173" t="s">
        <v>860</v>
      </c>
      <c r="C144" s="173" t="s">
        <v>861</v>
      </c>
      <c r="D144" s="173" t="s">
        <v>818</v>
      </c>
      <c r="E144" s="170" t="s">
        <v>701</v>
      </c>
      <c r="F144" s="174" t="s">
        <v>702</v>
      </c>
      <c r="G144" s="173" t="s">
        <v>709</v>
      </c>
      <c r="H144" s="175" t="s">
        <v>130</v>
      </c>
    </row>
    <row r="145" spans="1:8" ht="15.75" customHeight="1">
      <c r="A145" s="288"/>
      <c r="B145" s="176" t="s">
        <v>862</v>
      </c>
      <c r="C145" s="176" t="s">
        <v>863</v>
      </c>
      <c r="D145" s="176" t="s">
        <v>818</v>
      </c>
      <c r="E145" s="170" t="s">
        <v>701</v>
      </c>
      <c r="F145" s="177" t="s">
        <v>702</v>
      </c>
      <c r="G145" s="176" t="s">
        <v>864</v>
      </c>
      <c r="H145" s="178" t="s">
        <v>130</v>
      </c>
    </row>
    <row r="146" spans="1:8" ht="15.75" customHeight="1">
      <c r="A146" s="288"/>
      <c r="B146" s="173" t="s">
        <v>865</v>
      </c>
      <c r="C146" s="173" t="s">
        <v>866</v>
      </c>
      <c r="D146" s="173" t="s">
        <v>818</v>
      </c>
      <c r="E146" s="170" t="s">
        <v>701</v>
      </c>
      <c r="F146" s="174" t="s">
        <v>702</v>
      </c>
      <c r="G146" s="173" t="s">
        <v>726</v>
      </c>
      <c r="H146" s="175" t="s">
        <v>130</v>
      </c>
    </row>
    <row r="147" spans="1:8" ht="15.75" customHeight="1">
      <c r="A147" s="288"/>
      <c r="B147" s="176" t="s">
        <v>867</v>
      </c>
      <c r="C147" s="176" t="s">
        <v>868</v>
      </c>
      <c r="D147" s="176" t="s">
        <v>818</v>
      </c>
      <c r="E147" s="170" t="s">
        <v>701</v>
      </c>
      <c r="F147" s="177" t="s">
        <v>702</v>
      </c>
      <c r="G147" s="176" t="s">
        <v>706</v>
      </c>
      <c r="H147" s="178" t="s">
        <v>869</v>
      </c>
    </row>
    <row r="148" spans="1:8" ht="15.75" customHeight="1">
      <c r="A148" s="288"/>
      <c r="B148" s="173" t="s">
        <v>870</v>
      </c>
      <c r="C148" s="173" t="s">
        <v>871</v>
      </c>
      <c r="D148" s="173" t="s">
        <v>818</v>
      </c>
      <c r="E148" s="170" t="s">
        <v>701</v>
      </c>
      <c r="F148" s="174" t="s">
        <v>702</v>
      </c>
      <c r="G148" s="173" t="s">
        <v>703</v>
      </c>
      <c r="H148" s="175" t="s">
        <v>130</v>
      </c>
    </row>
    <row r="149" spans="1:8" ht="15.75" customHeight="1">
      <c r="A149" s="288"/>
      <c r="B149" s="176" t="s">
        <v>872</v>
      </c>
      <c r="C149" s="176" t="s">
        <v>873</v>
      </c>
      <c r="D149" s="176" t="s">
        <v>818</v>
      </c>
      <c r="E149" s="170" t="s">
        <v>701</v>
      </c>
      <c r="F149" s="177" t="s">
        <v>702</v>
      </c>
      <c r="G149" s="176" t="s">
        <v>703</v>
      </c>
      <c r="H149" s="178" t="s">
        <v>130</v>
      </c>
    </row>
    <row r="150" spans="1:8" ht="15.75" customHeight="1">
      <c r="A150" s="288"/>
      <c r="B150" s="173" t="s">
        <v>874</v>
      </c>
      <c r="C150" s="173" t="s">
        <v>875</v>
      </c>
      <c r="D150" s="173" t="s">
        <v>818</v>
      </c>
      <c r="E150" s="170" t="s">
        <v>701</v>
      </c>
      <c r="F150" s="174" t="s">
        <v>702</v>
      </c>
      <c r="G150" s="173" t="s">
        <v>703</v>
      </c>
      <c r="H150" s="175" t="s">
        <v>130</v>
      </c>
    </row>
    <row r="151" spans="1:8" ht="15.75" customHeight="1">
      <c r="A151" s="288"/>
      <c r="B151" s="176" t="s">
        <v>876</v>
      </c>
      <c r="C151" s="176" t="s">
        <v>877</v>
      </c>
      <c r="D151" s="176" t="s">
        <v>818</v>
      </c>
      <c r="E151" s="170" t="s">
        <v>701</v>
      </c>
      <c r="F151" s="177" t="s">
        <v>702</v>
      </c>
      <c r="G151" s="176" t="s">
        <v>709</v>
      </c>
      <c r="H151" s="178" t="s">
        <v>130</v>
      </c>
    </row>
    <row r="152" spans="1:8" ht="15.75" customHeight="1">
      <c r="A152" s="288"/>
      <c r="B152" s="173" t="s">
        <v>878</v>
      </c>
      <c r="C152" s="173" t="s">
        <v>879</v>
      </c>
      <c r="D152" s="173" t="s">
        <v>818</v>
      </c>
      <c r="E152" s="170" t="s">
        <v>701</v>
      </c>
      <c r="F152" s="174" t="s">
        <v>702</v>
      </c>
      <c r="G152" s="173" t="s">
        <v>703</v>
      </c>
      <c r="H152" s="175" t="s">
        <v>130</v>
      </c>
    </row>
    <row r="153" spans="1:8" ht="15.75" customHeight="1">
      <c r="A153" s="288"/>
      <c r="B153" s="176" t="s">
        <v>880</v>
      </c>
      <c r="C153" s="176" t="s">
        <v>881</v>
      </c>
      <c r="D153" s="176" t="s">
        <v>818</v>
      </c>
      <c r="E153" s="170" t="s">
        <v>701</v>
      </c>
      <c r="F153" s="177" t="s">
        <v>702</v>
      </c>
      <c r="G153" s="176" t="s">
        <v>703</v>
      </c>
      <c r="H153" s="178" t="s">
        <v>130</v>
      </c>
    </row>
    <row r="154" spans="1:8" ht="15.75" customHeight="1">
      <c r="A154" s="288"/>
      <c r="B154" s="173" t="s">
        <v>882</v>
      </c>
      <c r="C154" s="173" t="s">
        <v>883</v>
      </c>
      <c r="D154" s="173" t="s">
        <v>818</v>
      </c>
      <c r="E154" s="170" t="s">
        <v>701</v>
      </c>
      <c r="F154" s="174" t="s">
        <v>702</v>
      </c>
      <c r="G154" s="173" t="s">
        <v>706</v>
      </c>
      <c r="H154" s="175" t="s">
        <v>884</v>
      </c>
    </row>
    <row r="155" spans="1:8" ht="15.75" customHeight="1">
      <c r="A155" s="288"/>
      <c r="B155" s="176" t="s">
        <v>885</v>
      </c>
      <c r="C155" s="176" t="s">
        <v>886</v>
      </c>
      <c r="D155" s="176" t="s">
        <v>818</v>
      </c>
      <c r="E155" s="170" t="s">
        <v>701</v>
      </c>
      <c r="F155" s="177" t="s">
        <v>702</v>
      </c>
      <c r="G155" s="176" t="s">
        <v>726</v>
      </c>
      <c r="H155" s="178" t="s">
        <v>130</v>
      </c>
    </row>
    <row r="156" spans="1:8" ht="15.75" customHeight="1">
      <c r="A156" s="288"/>
      <c r="B156" s="173" t="s">
        <v>887</v>
      </c>
      <c r="C156" s="173" t="s">
        <v>888</v>
      </c>
      <c r="D156" s="173" t="s">
        <v>818</v>
      </c>
      <c r="E156" s="170" t="s">
        <v>701</v>
      </c>
      <c r="F156" s="174" t="s">
        <v>702</v>
      </c>
      <c r="G156" s="173" t="s">
        <v>703</v>
      </c>
      <c r="H156" s="175" t="s">
        <v>130</v>
      </c>
    </row>
    <row r="157" spans="1:8" ht="15.75" customHeight="1">
      <c r="A157" s="288"/>
      <c r="B157" s="176" t="s">
        <v>889</v>
      </c>
      <c r="C157" s="176" t="s">
        <v>890</v>
      </c>
      <c r="D157" s="176" t="s">
        <v>818</v>
      </c>
      <c r="E157" s="170" t="s">
        <v>701</v>
      </c>
      <c r="F157" s="177" t="s">
        <v>702</v>
      </c>
      <c r="G157" s="176" t="s">
        <v>709</v>
      </c>
      <c r="H157" s="178" t="s">
        <v>130</v>
      </c>
    </row>
    <row r="158" spans="1:8" ht="15.75" customHeight="1">
      <c r="A158" s="288"/>
      <c r="B158" s="173" t="s">
        <v>891</v>
      </c>
      <c r="C158" s="173" t="s">
        <v>892</v>
      </c>
      <c r="D158" s="173" t="s">
        <v>818</v>
      </c>
      <c r="E158" s="170" t="s">
        <v>701</v>
      </c>
      <c r="F158" s="174" t="s">
        <v>702</v>
      </c>
      <c r="G158" s="173" t="s">
        <v>703</v>
      </c>
      <c r="H158" s="175" t="s">
        <v>130</v>
      </c>
    </row>
    <row r="159" spans="1:8" ht="15.75" customHeight="1">
      <c r="A159" s="288"/>
      <c r="B159" s="176" t="s">
        <v>893</v>
      </c>
      <c r="C159" s="176" t="s">
        <v>894</v>
      </c>
      <c r="D159" s="176" t="s">
        <v>818</v>
      </c>
      <c r="E159" s="170" t="s">
        <v>701</v>
      </c>
      <c r="F159" s="177" t="s">
        <v>702</v>
      </c>
      <c r="G159" s="176" t="s">
        <v>706</v>
      </c>
      <c r="H159" s="178" t="s">
        <v>130</v>
      </c>
    </row>
    <row r="160" spans="1:8" ht="15.75" customHeight="1">
      <c r="A160" s="288"/>
      <c r="B160" s="173" t="s">
        <v>895</v>
      </c>
      <c r="C160" s="173" t="s">
        <v>896</v>
      </c>
      <c r="D160" s="173" t="s">
        <v>818</v>
      </c>
      <c r="E160" s="170" t="s">
        <v>701</v>
      </c>
      <c r="F160" s="174" t="s">
        <v>702</v>
      </c>
      <c r="G160" s="173" t="s">
        <v>864</v>
      </c>
      <c r="H160" s="175" t="s">
        <v>130</v>
      </c>
    </row>
    <row r="161" spans="1:8" ht="15.75" customHeight="1">
      <c r="A161" s="288"/>
      <c r="B161" s="176" t="s">
        <v>897</v>
      </c>
      <c r="C161" s="176" t="s">
        <v>898</v>
      </c>
      <c r="D161" s="176" t="s">
        <v>818</v>
      </c>
      <c r="E161" s="170" t="s">
        <v>701</v>
      </c>
      <c r="F161" s="177" t="s">
        <v>702</v>
      </c>
      <c r="G161" s="176" t="s">
        <v>703</v>
      </c>
      <c r="H161" s="178" t="s">
        <v>130</v>
      </c>
    </row>
    <row r="162" spans="1:8" ht="15.75" customHeight="1">
      <c r="A162" s="288"/>
      <c r="B162" s="173" t="s">
        <v>899</v>
      </c>
      <c r="C162" s="173" t="s">
        <v>900</v>
      </c>
      <c r="D162" s="173" t="s">
        <v>818</v>
      </c>
      <c r="E162" s="170" t="s">
        <v>701</v>
      </c>
      <c r="F162" s="174" t="s">
        <v>702</v>
      </c>
      <c r="G162" s="173" t="s">
        <v>864</v>
      </c>
      <c r="H162" s="175" t="s">
        <v>130</v>
      </c>
    </row>
    <row r="163" spans="1:8" ht="15.75" customHeight="1">
      <c r="A163" s="288"/>
      <c r="B163" s="176" t="s">
        <v>901</v>
      </c>
      <c r="C163" s="176" t="s">
        <v>902</v>
      </c>
      <c r="D163" s="176" t="s">
        <v>818</v>
      </c>
      <c r="E163" s="170" t="s">
        <v>701</v>
      </c>
      <c r="F163" s="177" t="s">
        <v>702</v>
      </c>
      <c r="G163" s="176" t="s">
        <v>709</v>
      </c>
      <c r="H163" s="178" t="s">
        <v>130</v>
      </c>
    </row>
    <row r="164" spans="1:8" ht="15.75" customHeight="1">
      <c r="A164" s="288"/>
      <c r="B164" s="173" t="s">
        <v>903</v>
      </c>
      <c r="C164" s="173" t="s">
        <v>904</v>
      </c>
      <c r="D164" s="173" t="s">
        <v>818</v>
      </c>
      <c r="E164" s="170" t="s">
        <v>701</v>
      </c>
      <c r="F164" s="174" t="s">
        <v>702</v>
      </c>
      <c r="G164" s="173" t="s">
        <v>905</v>
      </c>
      <c r="H164" s="175" t="s">
        <v>130</v>
      </c>
    </row>
    <row r="165" spans="1:8" ht="15.75" customHeight="1">
      <c r="A165" s="288"/>
      <c r="B165" s="176" t="s">
        <v>906</v>
      </c>
      <c r="C165" s="176" t="s">
        <v>907</v>
      </c>
      <c r="D165" s="176" t="s">
        <v>818</v>
      </c>
      <c r="E165" s="170" t="s">
        <v>701</v>
      </c>
      <c r="F165" s="177" t="s">
        <v>702</v>
      </c>
      <c r="G165" s="176" t="s">
        <v>726</v>
      </c>
      <c r="H165" s="178" t="s">
        <v>130</v>
      </c>
    </row>
    <row r="166" spans="1:8" ht="15.75" customHeight="1">
      <c r="A166" s="288"/>
      <c r="B166" s="173" t="s">
        <v>908</v>
      </c>
      <c r="C166" s="173" t="s">
        <v>909</v>
      </c>
      <c r="D166" s="173" t="s">
        <v>818</v>
      </c>
      <c r="E166" s="170" t="s">
        <v>701</v>
      </c>
      <c r="F166" s="174" t="s">
        <v>702</v>
      </c>
      <c r="G166" s="173" t="s">
        <v>703</v>
      </c>
      <c r="H166" s="175" t="s">
        <v>130</v>
      </c>
    </row>
    <row r="167" spans="1:8" ht="15.75" customHeight="1">
      <c r="A167" s="288"/>
      <c r="B167" s="176" t="s">
        <v>910</v>
      </c>
      <c r="C167" s="176" t="s">
        <v>911</v>
      </c>
      <c r="D167" s="176" t="s">
        <v>818</v>
      </c>
      <c r="E167" s="170" t="s">
        <v>701</v>
      </c>
      <c r="F167" s="177" t="s">
        <v>702</v>
      </c>
      <c r="G167" s="176" t="s">
        <v>703</v>
      </c>
      <c r="H167" s="178" t="s">
        <v>130</v>
      </c>
    </row>
    <row r="168" spans="1:8" ht="15.75" customHeight="1">
      <c r="A168" s="288"/>
      <c r="B168" s="173" t="s">
        <v>912</v>
      </c>
      <c r="C168" s="173" t="s">
        <v>913</v>
      </c>
      <c r="D168" s="173" t="s">
        <v>818</v>
      </c>
      <c r="E168" s="170" t="s">
        <v>701</v>
      </c>
      <c r="F168" s="174" t="s">
        <v>702</v>
      </c>
      <c r="G168" s="173" t="s">
        <v>709</v>
      </c>
      <c r="H168" s="175" t="s">
        <v>130</v>
      </c>
    </row>
    <row r="169" spans="1:8" ht="15.75" customHeight="1">
      <c r="A169" s="288"/>
      <c r="B169" s="176" t="s">
        <v>914</v>
      </c>
      <c r="C169" s="176" t="s">
        <v>915</v>
      </c>
      <c r="D169" s="176" t="s">
        <v>818</v>
      </c>
      <c r="E169" s="170" t="s">
        <v>701</v>
      </c>
      <c r="F169" s="177" t="s">
        <v>702</v>
      </c>
      <c r="G169" s="176" t="s">
        <v>916</v>
      </c>
      <c r="H169" s="178" t="s">
        <v>130</v>
      </c>
    </row>
    <row r="170" spans="1:8" ht="15.75" customHeight="1">
      <c r="A170" s="288"/>
      <c r="B170" s="173" t="s">
        <v>917</v>
      </c>
      <c r="C170" s="173" t="s">
        <v>918</v>
      </c>
      <c r="D170" s="173" t="s">
        <v>818</v>
      </c>
      <c r="E170" s="170" t="s">
        <v>701</v>
      </c>
      <c r="F170" s="174" t="s">
        <v>702</v>
      </c>
      <c r="G170" s="173" t="s">
        <v>703</v>
      </c>
      <c r="H170" s="175" t="s">
        <v>130</v>
      </c>
    </row>
    <row r="171" spans="1:8" ht="15.75" customHeight="1">
      <c r="A171" s="288"/>
      <c r="B171" s="176" t="s">
        <v>919</v>
      </c>
      <c r="C171" s="176" t="s">
        <v>920</v>
      </c>
      <c r="D171" s="176" t="s">
        <v>818</v>
      </c>
      <c r="E171" s="170" t="s">
        <v>701</v>
      </c>
      <c r="F171" s="177" t="s">
        <v>702</v>
      </c>
      <c r="G171" s="176" t="s">
        <v>703</v>
      </c>
      <c r="H171" s="178" t="s">
        <v>130</v>
      </c>
    </row>
    <row r="172" spans="1:8" ht="15.75" customHeight="1">
      <c r="A172" s="288"/>
      <c r="B172" s="173" t="s">
        <v>921</v>
      </c>
      <c r="C172" s="173" t="s">
        <v>922</v>
      </c>
      <c r="D172" s="173" t="s">
        <v>818</v>
      </c>
      <c r="E172" s="170" t="s">
        <v>701</v>
      </c>
      <c r="F172" s="174" t="s">
        <v>702</v>
      </c>
      <c r="G172" s="173" t="s">
        <v>703</v>
      </c>
      <c r="H172" s="175" t="s">
        <v>130</v>
      </c>
    </row>
    <row r="173" spans="1:8" ht="15.75" customHeight="1">
      <c r="A173" s="288"/>
      <c r="B173" s="176" t="s">
        <v>923</v>
      </c>
      <c r="C173" s="176" t="s">
        <v>924</v>
      </c>
      <c r="D173" s="176" t="s">
        <v>818</v>
      </c>
      <c r="E173" s="170" t="s">
        <v>701</v>
      </c>
      <c r="F173" s="177" t="s">
        <v>702</v>
      </c>
      <c r="G173" s="176" t="s">
        <v>925</v>
      </c>
      <c r="H173" s="178" t="s">
        <v>130</v>
      </c>
    </row>
    <row r="174" spans="1:8" ht="15.75" customHeight="1">
      <c r="A174" s="289"/>
      <c r="B174" s="173" t="s">
        <v>926</v>
      </c>
      <c r="C174" s="173" t="s">
        <v>927</v>
      </c>
      <c r="D174" s="173" t="s">
        <v>818</v>
      </c>
      <c r="E174" s="170" t="s">
        <v>701</v>
      </c>
      <c r="F174" s="174" t="s">
        <v>702</v>
      </c>
      <c r="G174" s="173" t="s">
        <v>709</v>
      </c>
      <c r="H174" s="175" t="s">
        <v>130</v>
      </c>
    </row>
    <row r="175" spans="1:8" ht="15.75" customHeight="1">
      <c r="A175" s="287" t="s">
        <v>928</v>
      </c>
      <c r="B175" s="176" t="s">
        <v>929</v>
      </c>
      <c r="C175" s="176" t="s">
        <v>930</v>
      </c>
      <c r="D175" s="176" t="s">
        <v>931</v>
      </c>
      <c r="E175" s="170" t="s">
        <v>701</v>
      </c>
      <c r="F175" s="177" t="s">
        <v>932</v>
      </c>
      <c r="G175" s="176" t="s">
        <v>703</v>
      </c>
      <c r="H175" s="178" t="s">
        <v>130</v>
      </c>
    </row>
    <row r="176" spans="1:8" ht="15.75" customHeight="1">
      <c r="A176" s="288"/>
      <c r="B176" s="173" t="s">
        <v>933</v>
      </c>
      <c r="C176" s="173" t="s">
        <v>934</v>
      </c>
      <c r="D176" s="173" t="s">
        <v>931</v>
      </c>
      <c r="E176" s="170" t="s">
        <v>701</v>
      </c>
      <c r="F176" s="174" t="s">
        <v>932</v>
      </c>
      <c r="G176" s="173" t="s">
        <v>706</v>
      </c>
      <c r="H176" s="175" t="s">
        <v>935</v>
      </c>
    </row>
    <row r="177" spans="1:8" ht="15.75" customHeight="1">
      <c r="A177" s="288"/>
      <c r="B177" s="176" t="s">
        <v>936</v>
      </c>
      <c r="C177" s="176" t="s">
        <v>937</v>
      </c>
      <c r="D177" s="176" t="s">
        <v>931</v>
      </c>
      <c r="E177" s="170" t="s">
        <v>701</v>
      </c>
      <c r="F177" s="177" t="s">
        <v>932</v>
      </c>
      <c r="G177" s="176" t="s">
        <v>709</v>
      </c>
      <c r="H177" s="178" t="s">
        <v>130</v>
      </c>
    </row>
    <row r="178" spans="1:8" ht="15.75" customHeight="1">
      <c r="A178" s="288"/>
      <c r="B178" s="173" t="s">
        <v>938</v>
      </c>
      <c r="C178" s="173" t="s">
        <v>939</v>
      </c>
      <c r="D178" s="173" t="s">
        <v>931</v>
      </c>
      <c r="E178" s="170" t="s">
        <v>701</v>
      </c>
      <c r="F178" s="174" t="s">
        <v>932</v>
      </c>
      <c r="G178" s="173" t="s">
        <v>709</v>
      </c>
      <c r="H178" s="175" t="s">
        <v>130</v>
      </c>
    </row>
    <row r="179" spans="1:8" ht="15.75" customHeight="1">
      <c r="A179" s="288"/>
      <c r="B179" s="176" t="s">
        <v>940</v>
      </c>
      <c r="C179" s="176" t="s">
        <v>941</v>
      </c>
      <c r="D179" s="176" t="s">
        <v>931</v>
      </c>
      <c r="E179" s="170" t="s">
        <v>701</v>
      </c>
      <c r="F179" s="177" t="s">
        <v>932</v>
      </c>
      <c r="G179" s="176" t="s">
        <v>709</v>
      </c>
      <c r="H179" s="178" t="s">
        <v>130</v>
      </c>
    </row>
    <row r="180" spans="1:8" ht="15.75" customHeight="1">
      <c r="A180" s="288"/>
      <c r="B180" s="173" t="s">
        <v>942</v>
      </c>
      <c r="C180" s="173" t="s">
        <v>943</v>
      </c>
      <c r="D180" s="173" t="s">
        <v>931</v>
      </c>
      <c r="E180" s="170" t="s">
        <v>701</v>
      </c>
      <c r="F180" s="174" t="s">
        <v>932</v>
      </c>
      <c r="G180" s="173" t="s">
        <v>703</v>
      </c>
      <c r="H180" s="175" t="s">
        <v>130</v>
      </c>
    </row>
    <row r="181" spans="1:8" ht="15.75" customHeight="1">
      <c r="A181" s="288"/>
      <c r="B181" s="176" t="s">
        <v>944</v>
      </c>
      <c r="C181" s="176" t="s">
        <v>945</v>
      </c>
      <c r="D181" s="176" t="s">
        <v>931</v>
      </c>
      <c r="E181" s="170" t="s">
        <v>701</v>
      </c>
      <c r="F181" s="177" t="s">
        <v>932</v>
      </c>
      <c r="G181" s="176" t="s">
        <v>703</v>
      </c>
      <c r="H181" s="178" t="s">
        <v>130</v>
      </c>
    </row>
    <row r="182" spans="1:8" ht="15.75" customHeight="1">
      <c r="A182" s="288"/>
      <c r="B182" s="173" t="s">
        <v>946</v>
      </c>
      <c r="C182" s="173" t="s">
        <v>947</v>
      </c>
      <c r="D182" s="173" t="s">
        <v>931</v>
      </c>
      <c r="E182" s="170" t="s">
        <v>701</v>
      </c>
      <c r="F182" s="174" t="s">
        <v>932</v>
      </c>
      <c r="G182" s="173" t="s">
        <v>709</v>
      </c>
      <c r="H182" s="175" t="s">
        <v>130</v>
      </c>
    </row>
    <row r="183" spans="1:8" ht="15.75" customHeight="1">
      <c r="A183" s="288"/>
      <c r="B183" s="176" t="s">
        <v>948</v>
      </c>
      <c r="C183" s="176" t="s">
        <v>949</v>
      </c>
      <c r="D183" s="176" t="s">
        <v>931</v>
      </c>
      <c r="E183" s="170" t="s">
        <v>701</v>
      </c>
      <c r="F183" s="177" t="s">
        <v>932</v>
      </c>
      <c r="G183" s="176" t="s">
        <v>703</v>
      </c>
      <c r="H183" s="178" t="s">
        <v>130</v>
      </c>
    </row>
    <row r="184" spans="1:8" ht="15.75" customHeight="1">
      <c r="A184" s="288"/>
      <c r="B184" s="173" t="s">
        <v>950</v>
      </c>
      <c r="C184" s="173" t="s">
        <v>951</v>
      </c>
      <c r="D184" s="173" t="s">
        <v>931</v>
      </c>
      <c r="E184" s="170" t="s">
        <v>701</v>
      </c>
      <c r="F184" s="174" t="s">
        <v>932</v>
      </c>
      <c r="G184" s="173" t="s">
        <v>706</v>
      </c>
      <c r="H184" s="175" t="s">
        <v>130</v>
      </c>
    </row>
    <row r="185" spans="1:8" ht="15.75" customHeight="1">
      <c r="A185" s="288"/>
      <c r="B185" s="176" t="s">
        <v>952</v>
      </c>
      <c r="C185" s="176" t="s">
        <v>953</v>
      </c>
      <c r="D185" s="176" t="s">
        <v>931</v>
      </c>
      <c r="E185" s="170" t="s">
        <v>701</v>
      </c>
      <c r="F185" s="177" t="s">
        <v>932</v>
      </c>
      <c r="G185" s="176" t="s">
        <v>726</v>
      </c>
      <c r="H185" s="178" t="s">
        <v>130</v>
      </c>
    </row>
    <row r="186" spans="1:8" ht="15.75" customHeight="1">
      <c r="A186" s="288"/>
      <c r="B186" s="173" t="s">
        <v>954</v>
      </c>
      <c r="C186" s="173" t="s">
        <v>955</v>
      </c>
      <c r="D186" s="173" t="s">
        <v>931</v>
      </c>
      <c r="E186" s="170" t="s">
        <v>701</v>
      </c>
      <c r="F186" s="174" t="s">
        <v>932</v>
      </c>
      <c r="G186" s="173" t="s">
        <v>709</v>
      </c>
      <c r="H186" s="175" t="s">
        <v>130</v>
      </c>
    </row>
    <row r="187" spans="1:8" ht="15.75" customHeight="1">
      <c r="A187" s="288"/>
      <c r="B187" s="176" t="s">
        <v>956</v>
      </c>
      <c r="C187" s="176" t="s">
        <v>957</v>
      </c>
      <c r="D187" s="176" t="s">
        <v>931</v>
      </c>
      <c r="E187" s="170" t="s">
        <v>701</v>
      </c>
      <c r="F187" s="177" t="s">
        <v>932</v>
      </c>
      <c r="G187" s="176" t="s">
        <v>726</v>
      </c>
      <c r="H187" s="178" t="s">
        <v>130</v>
      </c>
    </row>
    <row r="188" spans="1:8" ht="15.75" customHeight="1">
      <c r="A188" s="288"/>
      <c r="B188" s="173" t="s">
        <v>958</v>
      </c>
      <c r="C188" s="173" t="s">
        <v>959</v>
      </c>
      <c r="D188" s="173" t="s">
        <v>931</v>
      </c>
      <c r="E188" s="170" t="s">
        <v>701</v>
      </c>
      <c r="F188" s="174" t="s">
        <v>932</v>
      </c>
      <c r="G188" s="173" t="s">
        <v>709</v>
      </c>
      <c r="H188" s="175" t="s">
        <v>130</v>
      </c>
    </row>
    <row r="189" spans="1:8" ht="15.75" customHeight="1">
      <c r="A189" s="288"/>
      <c r="B189" s="176" t="s">
        <v>960</v>
      </c>
      <c r="C189" s="176" t="s">
        <v>961</v>
      </c>
      <c r="D189" s="176" t="s">
        <v>818</v>
      </c>
      <c r="E189" s="170" t="s">
        <v>701</v>
      </c>
      <c r="F189" s="177" t="s">
        <v>932</v>
      </c>
      <c r="G189" s="176" t="s">
        <v>962</v>
      </c>
      <c r="H189" s="178" t="s">
        <v>130</v>
      </c>
    </row>
    <row r="190" spans="1:8" ht="15.75" customHeight="1">
      <c r="A190" s="288"/>
      <c r="B190" s="173" t="s">
        <v>963</v>
      </c>
      <c r="C190" s="173" t="s">
        <v>964</v>
      </c>
      <c r="D190" s="173" t="s">
        <v>931</v>
      </c>
      <c r="E190" s="170" t="s">
        <v>701</v>
      </c>
      <c r="F190" s="174" t="s">
        <v>932</v>
      </c>
      <c r="G190" s="173" t="s">
        <v>703</v>
      </c>
      <c r="H190" s="175" t="s">
        <v>130</v>
      </c>
    </row>
    <row r="191" spans="1:8" ht="15.75" customHeight="1">
      <c r="A191" s="288"/>
      <c r="B191" s="176" t="s">
        <v>965</v>
      </c>
      <c r="C191" s="176" t="s">
        <v>966</v>
      </c>
      <c r="D191" s="176" t="s">
        <v>931</v>
      </c>
      <c r="E191" s="170" t="s">
        <v>701</v>
      </c>
      <c r="F191" s="177" t="s">
        <v>932</v>
      </c>
      <c r="G191" s="176" t="s">
        <v>703</v>
      </c>
      <c r="H191" s="178" t="s">
        <v>130</v>
      </c>
    </row>
    <row r="192" spans="1:8" ht="15.75" customHeight="1">
      <c r="A192" s="288"/>
      <c r="B192" s="173" t="s">
        <v>967</v>
      </c>
      <c r="C192" s="173" t="s">
        <v>968</v>
      </c>
      <c r="D192" s="173" t="s">
        <v>931</v>
      </c>
      <c r="E192" s="170" t="s">
        <v>701</v>
      </c>
      <c r="F192" s="174" t="s">
        <v>932</v>
      </c>
      <c r="G192" s="173" t="s">
        <v>703</v>
      </c>
      <c r="H192" s="175" t="s">
        <v>130</v>
      </c>
    </row>
    <row r="193" spans="1:8" ht="15.75" customHeight="1">
      <c r="A193" s="288"/>
      <c r="B193" s="176" t="s">
        <v>969</v>
      </c>
      <c r="C193" s="176" t="s">
        <v>970</v>
      </c>
      <c r="D193" s="176" t="s">
        <v>931</v>
      </c>
      <c r="E193" s="170" t="s">
        <v>701</v>
      </c>
      <c r="F193" s="177" t="s">
        <v>932</v>
      </c>
      <c r="G193" s="176" t="s">
        <v>709</v>
      </c>
      <c r="H193" s="178" t="s">
        <v>130</v>
      </c>
    </row>
    <row r="194" spans="1:8" ht="15.75" customHeight="1">
      <c r="A194" s="288"/>
      <c r="B194" s="173" t="s">
        <v>971</v>
      </c>
      <c r="C194" s="173" t="s">
        <v>972</v>
      </c>
      <c r="D194" s="173" t="s">
        <v>931</v>
      </c>
      <c r="E194" s="170" t="s">
        <v>701</v>
      </c>
      <c r="F194" s="174" t="s">
        <v>932</v>
      </c>
      <c r="G194" s="173" t="s">
        <v>706</v>
      </c>
      <c r="H194" s="175" t="s">
        <v>973</v>
      </c>
    </row>
    <row r="195" spans="1:8" ht="15.75" customHeight="1">
      <c r="A195" s="288"/>
      <c r="B195" s="176" t="s">
        <v>974</v>
      </c>
      <c r="C195" s="176" t="s">
        <v>975</v>
      </c>
      <c r="D195" s="176" t="s">
        <v>931</v>
      </c>
      <c r="E195" s="170" t="s">
        <v>701</v>
      </c>
      <c r="F195" s="177" t="s">
        <v>932</v>
      </c>
      <c r="G195" s="176" t="s">
        <v>706</v>
      </c>
      <c r="H195" s="178" t="s">
        <v>130</v>
      </c>
    </row>
    <row r="196" spans="1:8" ht="15.75" customHeight="1">
      <c r="A196" s="288"/>
      <c r="B196" s="173" t="s">
        <v>976</v>
      </c>
      <c r="C196" s="173" t="s">
        <v>977</v>
      </c>
      <c r="D196" s="173" t="s">
        <v>931</v>
      </c>
      <c r="E196" s="170" t="s">
        <v>701</v>
      </c>
      <c r="F196" s="174" t="s">
        <v>932</v>
      </c>
      <c r="G196" s="173" t="s">
        <v>703</v>
      </c>
      <c r="H196" s="175" t="s">
        <v>130</v>
      </c>
    </row>
    <row r="197" spans="1:8" ht="15.75" customHeight="1">
      <c r="A197" s="288"/>
      <c r="B197" s="176" t="s">
        <v>978</v>
      </c>
      <c r="C197" s="176" t="s">
        <v>979</v>
      </c>
      <c r="D197" s="176" t="s">
        <v>931</v>
      </c>
      <c r="E197" s="170" t="s">
        <v>701</v>
      </c>
      <c r="F197" s="177" t="s">
        <v>932</v>
      </c>
      <c r="G197" s="176" t="s">
        <v>706</v>
      </c>
      <c r="H197" s="178" t="s">
        <v>980</v>
      </c>
    </row>
    <row r="198" spans="1:8" ht="15.75" customHeight="1">
      <c r="A198" s="288"/>
      <c r="B198" s="173" t="s">
        <v>981</v>
      </c>
      <c r="C198" s="173" t="s">
        <v>982</v>
      </c>
      <c r="D198" s="173" t="s">
        <v>818</v>
      </c>
      <c r="E198" s="170" t="s">
        <v>701</v>
      </c>
      <c r="F198" s="174" t="s">
        <v>932</v>
      </c>
      <c r="G198" s="173" t="s">
        <v>703</v>
      </c>
      <c r="H198" s="175" t="s">
        <v>130</v>
      </c>
    </row>
    <row r="199" spans="1:8" ht="15.75" customHeight="1">
      <c r="A199" s="288"/>
      <c r="B199" s="176" t="s">
        <v>983</v>
      </c>
      <c r="C199" s="176" t="s">
        <v>984</v>
      </c>
      <c r="D199" s="176" t="s">
        <v>931</v>
      </c>
      <c r="E199" s="170" t="s">
        <v>701</v>
      </c>
      <c r="F199" s="177" t="s">
        <v>932</v>
      </c>
      <c r="G199" s="176" t="s">
        <v>726</v>
      </c>
      <c r="H199" s="178" t="s">
        <v>130</v>
      </c>
    </row>
    <row r="200" spans="1:8" ht="15.75" customHeight="1">
      <c r="A200" s="288"/>
      <c r="B200" s="173" t="s">
        <v>985</v>
      </c>
      <c r="C200" s="173" t="s">
        <v>986</v>
      </c>
      <c r="D200" s="173" t="s">
        <v>931</v>
      </c>
      <c r="E200" s="170" t="s">
        <v>701</v>
      </c>
      <c r="F200" s="174" t="s">
        <v>932</v>
      </c>
      <c r="G200" s="173" t="s">
        <v>726</v>
      </c>
      <c r="H200" s="175" t="s">
        <v>130</v>
      </c>
    </row>
    <row r="201" spans="1:8" ht="15.75" customHeight="1">
      <c r="A201" s="288"/>
      <c r="B201" s="176" t="s">
        <v>987</v>
      </c>
      <c r="C201" s="176" t="s">
        <v>988</v>
      </c>
      <c r="D201" s="176" t="s">
        <v>931</v>
      </c>
      <c r="E201" s="170" t="s">
        <v>701</v>
      </c>
      <c r="F201" s="177" t="s">
        <v>932</v>
      </c>
      <c r="G201" s="176" t="s">
        <v>709</v>
      </c>
      <c r="H201" s="178" t="s">
        <v>130</v>
      </c>
    </row>
    <row r="202" spans="1:8" ht="15.75" customHeight="1">
      <c r="A202" s="288"/>
      <c r="B202" s="173" t="s">
        <v>989</v>
      </c>
      <c r="C202" s="173" t="s">
        <v>990</v>
      </c>
      <c r="D202" s="173" t="s">
        <v>931</v>
      </c>
      <c r="E202" s="170" t="s">
        <v>701</v>
      </c>
      <c r="F202" s="174" t="s">
        <v>932</v>
      </c>
      <c r="G202" s="173" t="s">
        <v>703</v>
      </c>
      <c r="H202" s="175" t="s">
        <v>130</v>
      </c>
    </row>
    <row r="203" spans="1:8" ht="15.75" customHeight="1">
      <c r="A203" s="288"/>
      <c r="B203" s="176" t="s">
        <v>991</v>
      </c>
      <c r="C203" s="176" t="s">
        <v>992</v>
      </c>
      <c r="D203" s="176" t="s">
        <v>931</v>
      </c>
      <c r="E203" s="170" t="s">
        <v>701</v>
      </c>
      <c r="F203" s="177" t="s">
        <v>932</v>
      </c>
      <c r="G203" s="176" t="s">
        <v>703</v>
      </c>
      <c r="H203" s="178" t="s">
        <v>130</v>
      </c>
    </row>
    <row r="204" spans="1:8" ht="15.75" customHeight="1">
      <c r="A204" s="288"/>
      <c r="B204" s="173" t="s">
        <v>993</v>
      </c>
      <c r="C204" s="173" t="s">
        <v>994</v>
      </c>
      <c r="D204" s="173" t="s">
        <v>818</v>
      </c>
      <c r="E204" s="170" t="s">
        <v>701</v>
      </c>
      <c r="F204" s="174" t="s">
        <v>932</v>
      </c>
      <c r="G204" s="173" t="s">
        <v>709</v>
      </c>
      <c r="H204" s="175" t="s">
        <v>130</v>
      </c>
    </row>
    <row r="205" spans="1:8" ht="15.75" customHeight="1">
      <c r="A205" s="288"/>
      <c r="B205" s="176" t="s">
        <v>995</v>
      </c>
      <c r="C205" s="176" t="s">
        <v>996</v>
      </c>
      <c r="D205" s="176" t="s">
        <v>931</v>
      </c>
      <c r="E205" s="170" t="s">
        <v>701</v>
      </c>
      <c r="F205" s="177" t="s">
        <v>932</v>
      </c>
      <c r="G205" s="176" t="s">
        <v>709</v>
      </c>
      <c r="H205" s="178" t="s">
        <v>130</v>
      </c>
    </row>
    <row r="206" spans="1:8" ht="15.75" customHeight="1">
      <c r="A206" s="288"/>
      <c r="B206" s="173" t="s">
        <v>997</v>
      </c>
      <c r="C206" s="173" t="s">
        <v>998</v>
      </c>
      <c r="D206" s="173" t="s">
        <v>931</v>
      </c>
      <c r="E206" s="170" t="s">
        <v>701</v>
      </c>
      <c r="F206" s="174" t="s">
        <v>932</v>
      </c>
      <c r="G206" s="173" t="s">
        <v>703</v>
      </c>
      <c r="H206" s="175" t="s">
        <v>130</v>
      </c>
    </row>
    <row r="207" spans="1:8" ht="15.75" customHeight="1">
      <c r="A207" s="288"/>
      <c r="B207" s="176" t="s">
        <v>999</v>
      </c>
      <c r="C207" s="176" t="s">
        <v>1000</v>
      </c>
      <c r="D207" s="176" t="s">
        <v>931</v>
      </c>
      <c r="E207" s="170" t="s">
        <v>701</v>
      </c>
      <c r="F207" s="177" t="s">
        <v>932</v>
      </c>
      <c r="G207" s="176" t="s">
        <v>703</v>
      </c>
      <c r="H207" s="178" t="s">
        <v>130</v>
      </c>
    </row>
    <row r="208" spans="1:8" ht="15.75" customHeight="1">
      <c r="A208" s="288"/>
      <c r="B208" s="173" t="s">
        <v>1001</v>
      </c>
      <c r="C208" s="173" t="s">
        <v>1002</v>
      </c>
      <c r="D208" s="173" t="s">
        <v>931</v>
      </c>
      <c r="E208" s="170" t="s">
        <v>701</v>
      </c>
      <c r="F208" s="174" t="s">
        <v>932</v>
      </c>
      <c r="G208" s="173" t="s">
        <v>703</v>
      </c>
      <c r="H208" s="175" t="s">
        <v>130</v>
      </c>
    </row>
    <row r="209" spans="1:8" ht="15.75" customHeight="1">
      <c r="A209" s="288"/>
      <c r="B209" s="176" t="s">
        <v>1003</v>
      </c>
      <c r="C209" s="176" t="s">
        <v>1004</v>
      </c>
      <c r="D209" s="176" t="s">
        <v>818</v>
      </c>
      <c r="E209" s="170" t="s">
        <v>701</v>
      </c>
      <c r="F209" s="177" t="s">
        <v>932</v>
      </c>
      <c r="G209" s="176" t="s">
        <v>703</v>
      </c>
      <c r="H209" s="178" t="s">
        <v>130</v>
      </c>
    </row>
    <row r="210" spans="1:8" ht="15.75" customHeight="1">
      <c r="A210" s="288"/>
      <c r="B210" s="173" t="s">
        <v>1005</v>
      </c>
      <c r="C210" s="173" t="s">
        <v>1006</v>
      </c>
      <c r="D210" s="173" t="s">
        <v>931</v>
      </c>
      <c r="E210" s="170" t="s">
        <v>701</v>
      </c>
      <c r="F210" s="174" t="s">
        <v>932</v>
      </c>
      <c r="G210" s="173" t="s">
        <v>709</v>
      </c>
      <c r="H210" s="175" t="s">
        <v>130</v>
      </c>
    </row>
    <row r="211" spans="1:8" ht="15.75" customHeight="1">
      <c r="A211" s="288"/>
      <c r="B211" s="176" t="s">
        <v>1007</v>
      </c>
      <c r="C211" s="176" t="s">
        <v>1008</v>
      </c>
      <c r="D211" s="176" t="s">
        <v>818</v>
      </c>
      <c r="E211" s="170" t="s">
        <v>701</v>
      </c>
      <c r="F211" s="177" t="s">
        <v>932</v>
      </c>
      <c r="G211" s="176" t="s">
        <v>726</v>
      </c>
      <c r="H211" s="178" t="s">
        <v>130</v>
      </c>
    </row>
    <row r="212" spans="1:8" ht="15.75" customHeight="1">
      <c r="A212" s="288"/>
      <c r="B212" s="173" t="s">
        <v>1009</v>
      </c>
      <c r="C212" s="173" t="s">
        <v>1010</v>
      </c>
      <c r="D212" s="173" t="s">
        <v>931</v>
      </c>
      <c r="E212" s="170" t="s">
        <v>701</v>
      </c>
      <c r="F212" s="174" t="s">
        <v>932</v>
      </c>
      <c r="G212" s="173" t="s">
        <v>709</v>
      </c>
      <c r="H212" s="175" t="s">
        <v>130</v>
      </c>
    </row>
    <row r="213" spans="1:8" ht="15.75" customHeight="1">
      <c r="A213" s="288"/>
      <c r="B213" s="176" t="s">
        <v>1011</v>
      </c>
      <c r="C213" s="176" t="s">
        <v>1012</v>
      </c>
      <c r="D213" s="176" t="s">
        <v>931</v>
      </c>
      <c r="E213" s="170" t="s">
        <v>701</v>
      </c>
      <c r="F213" s="177" t="s">
        <v>932</v>
      </c>
      <c r="G213" s="176" t="s">
        <v>709</v>
      </c>
      <c r="H213" s="178" t="s">
        <v>130</v>
      </c>
    </row>
    <row r="214" spans="1:8" ht="15.75" customHeight="1">
      <c r="A214" s="288"/>
      <c r="B214" s="173" t="s">
        <v>1013</v>
      </c>
      <c r="C214" s="173" t="s">
        <v>1014</v>
      </c>
      <c r="D214" s="173" t="s">
        <v>931</v>
      </c>
      <c r="E214" s="170" t="s">
        <v>701</v>
      </c>
      <c r="F214" s="174" t="s">
        <v>932</v>
      </c>
      <c r="G214" s="173" t="s">
        <v>706</v>
      </c>
      <c r="H214" s="175" t="s">
        <v>130</v>
      </c>
    </row>
    <row r="215" spans="1:8" ht="15.75" customHeight="1">
      <c r="A215" s="288"/>
      <c r="B215" s="176" t="s">
        <v>1015</v>
      </c>
      <c r="C215" s="176" t="s">
        <v>1016</v>
      </c>
      <c r="D215" s="176" t="s">
        <v>931</v>
      </c>
      <c r="E215" s="170" t="s">
        <v>701</v>
      </c>
      <c r="F215" s="177" t="s">
        <v>932</v>
      </c>
      <c r="G215" s="176" t="s">
        <v>726</v>
      </c>
      <c r="H215" s="178" t="s">
        <v>130</v>
      </c>
    </row>
    <row r="216" spans="1:8" ht="15.75" customHeight="1">
      <c r="A216" s="288"/>
      <c r="B216" s="173" t="s">
        <v>1017</v>
      </c>
      <c r="C216" s="173" t="s">
        <v>1018</v>
      </c>
      <c r="D216" s="173" t="s">
        <v>818</v>
      </c>
      <c r="E216" s="170" t="s">
        <v>701</v>
      </c>
      <c r="F216" s="174" t="s">
        <v>932</v>
      </c>
      <c r="G216" s="173" t="s">
        <v>703</v>
      </c>
      <c r="H216" s="175" t="s">
        <v>130</v>
      </c>
    </row>
    <row r="217" spans="1:8" ht="15.75" customHeight="1">
      <c r="A217" s="288"/>
      <c r="B217" s="176" t="s">
        <v>1019</v>
      </c>
      <c r="C217" s="176" t="s">
        <v>1020</v>
      </c>
      <c r="D217" s="176" t="s">
        <v>931</v>
      </c>
      <c r="E217" s="170" t="s">
        <v>701</v>
      </c>
      <c r="F217" s="177" t="s">
        <v>932</v>
      </c>
      <c r="G217" s="176" t="s">
        <v>703</v>
      </c>
      <c r="H217" s="178" t="s">
        <v>130</v>
      </c>
    </row>
    <row r="218" spans="1:8" ht="15.75" customHeight="1">
      <c r="A218" s="288"/>
      <c r="B218" s="173" t="s">
        <v>1021</v>
      </c>
      <c r="C218" s="173" t="s">
        <v>1022</v>
      </c>
      <c r="D218" s="173" t="s">
        <v>931</v>
      </c>
      <c r="E218" s="170" t="s">
        <v>701</v>
      </c>
      <c r="F218" s="174" t="s">
        <v>932</v>
      </c>
      <c r="G218" s="173" t="s">
        <v>703</v>
      </c>
      <c r="H218" s="175" t="s">
        <v>130</v>
      </c>
    </row>
    <row r="219" spans="1:8" ht="15.75" customHeight="1">
      <c r="A219" s="288"/>
      <c r="B219" s="176" t="s">
        <v>1023</v>
      </c>
      <c r="C219" s="176" t="s">
        <v>1024</v>
      </c>
      <c r="D219" s="176" t="s">
        <v>931</v>
      </c>
      <c r="E219" s="170" t="s">
        <v>701</v>
      </c>
      <c r="F219" s="177" t="s">
        <v>932</v>
      </c>
      <c r="G219" s="176" t="s">
        <v>706</v>
      </c>
      <c r="H219" s="178" t="s">
        <v>1025</v>
      </c>
    </row>
    <row r="220" spans="1:8" ht="15.75" customHeight="1">
      <c r="A220" s="288"/>
      <c r="B220" s="173" t="s">
        <v>1026</v>
      </c>
      <c r="C220" s="173" t="s">
        <v>1027</v>
      </c>
      <c r="D220" s="173" t="s">
        <v>931</v>
      </c>
      <c r="E220" s="170" t="s">
        <v>701</v>
      </c>
      <c r="F220" s="174" t="s">
        <v>932</v>
      </c>
      <c r="G220" s="173" t="s">
        <v>709</v>
      </c>
      <c r="H220" s="175" t="s">
        <v>130</v>
      </c>
    </row>
    <row r="221" spans="1:8" ht="15.75" customHeight="1">
      <c r="A221" s="288"/>
      <c r="B221" s="176" t="s">
        <v>1028</v>
      </c>
      <c r="C221" s="176" t="s">
        <v>1029</v>
      </c>
      <c r="D221" s="176" t="s">
        <v>931</v>
      </c>
      <c r="E221" s="170" t="s">
        <v>701</v>
      </c>
      <c r="F221" s="177" t="s">
        <v>932</v>
      </c>
      <c r="G221" s="176" t="s">
        <v>706</v>
      </c>
      <c r="H221" s="178" t="s">
        <v>130</v>
      </c>
    </row>
    <row r="222" spans="1:8" ht="15.75" customHeight="1">
      <c r="A222" s="288"/>
      <c r="B222" s="173" t="s">
        <v>1030</v>
      </c>
      <c r="C222" s="173" t="s">
        <v>1031</v>
      </c>
      <c r="D222" s="173" t="s">
        <v>931</v>
      </c>
      <c r="E222" s="170" t="s">
        <v>701</v>
      </c>
      <c r="F222" s="174" t="s">
        <v>932</v>
      </c>
      <c r="G222" s="173" t="s">
        <v>703</v>
      </c>
      <c r="H222" s="175" t="s">
        <v>130</v>
      </c>
    </row>
    <row r="223" spans="1:8" ht="15.75" customHeight="1">
      <c r="A223" s="288"/>
      <c r="B223" s="176" t="s">
        <v>1032</v>
      </c>
      <c r="C223" s="176" t="s">
        <v>1033</v>
      </c>
      <c r="D223" s="176" t="s">
        <v>818</v>
      </c>
      <c r="E223" s="170" t="s">
        <v>701</v>
      </c>
      <c r="F223" s="177" t="s">
        <v>932</v>
      </c>
      <c r="G223" s="176" t="s">
        <v>709</v>
      </c>
      <c r="H223" s="178" t="s">
        <v>130</v>
      </c>
    </row>
    <row r="224" spans="1:8" ht="15.75" customHeight="1">
      <c r="A224" s="289"/>
      <c r="B224" s="173" t="s">
        <v>1034</v>
      </c>
      <c r="C224" s="173" t="s">
        <v>1035</v>
      </c>
      <c r="D224" s="173" t="s">
        <v>931</v>
      </c>
      <c r="E224" s="170" t="s">
        <v>701</v>
      </c>
      <c r="F224" s="174" t="s">
        <v>932</v>
      </c>
      <c r="G224" s="173" t="s">
        <v>703</v>
      </c>
      <c r="H224" s="175" t="s">
        <v>130</v>
      </c>
    </row>
    <row r="225" spans="1:8" ht="15.75" customHeight="1">
      <c r="A225" s="287" t="s">
        <v>1036</v>
      </c>
      <c r="B225" s="176" t="s">
        <v>1037</v>
      </c>
      <c r="C225" s="176" t="s">
        <v>1038</v>
      </c>
      <c r="D225" s="176" t="s">
        <v>1039</v>
      </c>
      <c r="E225" s="170" t="s">
        <v>701</v>
      </c>
      <c r="F225" s="177" t="s">
        <v>702</v>
      </c>
      <c r="G225" s="176" t="s">
        <v>703</v>
      </c>
      <c r="H225" s="178" t="s">
        <v>130</v>
      </c>
    </row>
    <row r="226" spans="1:8" ht="15.75" customHeight="1">
      <c r="A226" s="288"/>
      <c r="B226" s="173" t="s">
        <v>1040</v>
      </c>
      <c r="C226" s="173" t="s">
        <v>1041</v>
      </c>
      <c r="D226" s="173" t="s">
        <v>1039</v>
      </c>
      <c r="E226" s="170" t="s">
        <v>701</v>
      </c>
      <c r="F226" s="174" t="s">
        <v>702</v>
      </c>
      <c r="G226" s="173" t="s">
        <v>703</v>
      </c>
      <c r="H226" s="175" t="s">
        <v>130</v>
      </c>
    </row>
    <row r="227" spans="1:8" ht="15.75" customHeight="1">
      <c r="A227" s="288"/>
      <c r="B227" s="176" t="s">
        <v>1042</v>
      </c>
      <c r="C227" s="176" t="s">
        <v>1043</v>
      </c>
      <c r="D227" s="176" t="s">
        <v>1039</v>
      </c>
      <c r="E227" s="170" t="s">
        <v>701</v>
      </c>
      <c r="F227" s="177" t="s">
        <v>702</v>
      </c>
      <c r="G227" s="176" t="s">
        <v>703</v>
      </c>
      <c r="H227" s="178" t="s">
        <v>130</v>
      </c>
    </row>
    <row r="228" spans="1:8" ht="15.75" customHeight="1">
      <c r="A228" s="288"/>
      <c r="B228" s="173" t="s">
        <v>1044</v>
      </c>
      <c r="C228" s="173" t="s">
        <v>1045</v>
      </c>
      <c r="D228" s="173" t="s">
        <v>1039</v>
      </c>
      <c r="E228" s="170" t="s">
        <v>701</v>
      </c>
      <c r="F228" s="174" t="s">
        <v>702</v>
      </c>
      <c r="G228" s="173" t="s">
        <v>709</v>
      </c>
      <c r="H228" s="175" t="s">
        <v>130</v>
      </c>
    </row>
    <row r="229" spans="1:8" ht="15.75" customHeight="1">
      <c r="A229" s="288"/>
      <c r="B229" s="176" t="s">
        <v>1046</v>
      </c>
      <c r="C229" s="176" t="s">
        <v>1047</v>
      </c>
      <c r="D229" s="176" t="s">
        <v>1039</v>
      </c>
      <c r="E229" s="170" t="s">
        <v>701</v>
      </c>
      <c r="F229" s="177" t="s">
        <v>702</v>
      </c>
      <c r="G229" s="176" t="s">
        <v>709</v>
      </c>
      <c r="H229" s="178" t="s">
        <v>130</v>
      </c>
    </row>
    <row r="230" spans="1:8" ht="15.75" customHeight="1">
      <c r="A230" s="288"/>
      <c r="B230" s="173" t="s">
        <v>1048</v>
      </c>
      <c r="C230" s="173" t="s">
        <v>1049</v>
      </c>
      <c r="D230" s="173" t="s">
        <v>1039</v>
      </c>
      <c r="E230" s="170" t="s">
        <v>701</v>
      </c>
      <c r="F230" s="174" t="s">
        <v>702</v>
      </c>
      <c r="G230" s="173" t="s">
        <v>703</v>
      </c>
      <c r="H230" s="175" t="s">
        <v>130</v>
      </c>
    </row>
    <row r="231" spans="1:8" ht="15.75" customHeight="1">
      <c r="A231" s="288"/>
      <c r="B231" s="176" t="s">
        <v>1050</v>
      </c>
      <c r="C231" s="176" t="s">
        <v>1051</v>
      </c>
      <c r="D231" s="176" t="s">
        <v>1039</v>
      </c>
      <c r="E231" s="170" t="s">
        <v>701</v>
      </c>
      <c r="F231" s="177" t="s">
        <v>702</v>
      </c>
      <c r="G231" s="176" t="s">
        <v>703</v>
      </c>
      <c r="H231" s="178" t="s">
        <v>130</v>
      </c>
    </row>
    <row r="232" spans="1:8" ht="15.75" customHeight="1">
      <c r="A232" s="288"/>
      <c r="B232" s="173" t="s">
        <v>1052</v>
      </c>
      <c r="C232" s="173" t="s">
        <v>1053</v>
      </c>
      <c r="D232" s="173" t="s">
        <v>1039</v>
      </c>
      <c r="E232" s="170" t="s">
        <v>701</v>
      </c>
      <c r="F232" s="174" t="s">
        <v>702</v>
      </c>
      <c r="G232" s="173" t="s">
        <v>706</v>
      </c>
      <c r="H232" s="175" t="s">
        <v>1054</v>
      </c>
    </row>
    <row r="233" spans="1:8" ht="15.75" customHeight="1">
      <c r="A233" s="288"/>
      <c r="B233" s="176" t="s">
        <v>1055</v>
      </c>
      <c r="C233" s="176" t="s">
        <v>1056</v>
      </c>
      <c r="D233" s="176" t="s">
        <v>1039</v>
      </c>
      <c r="E233" s="170" t="s">
        <v>701</v>
      </c>
      <c r="F233" s="177" t="s">
        <v>702</v>
      </c>
      <c r="G233" s="176" t="s">
        <v>703</v>
      </c>
      <c r="H233" s="178" t="s">
        <v>130</v>
      </c>
    </row>
    <row r="234" spans="1:8" ht="15.75" customHeight="1">
      <c r="A234" s="288"/>
      <c r="B234" s="173" t="s">
        <v>1057</v>
      </c>
      <c r="C234" s="173" t="s">
        <v>1058</v>
      </c>
      <c r="D234" s="173" t="s">
        <v>1039</v>
      </c>
      <c r="E234" s="170" t="s">
        <v>701</v>
      </c>
      <c r="F234" s="174" t="s">
        <v>702</v>
      </c>
      <c r="G234" s="173" t="s">
        <v>1059</v>
      </c>
      <c r="H234" s="175" t="s">
        <v>130</v>
      </c>
    </row>
    <row r="235" spans="1:8" ht="15.75" customHeight="1">
      <c r="A235" s="288"/>
      <c r="B235" s="176" t="s">
        <v>1060</v>
      </c>
      <c r="C235" s="176" t="s">
        <v>1061</v>
      </c>
      <c r="D235" s="176" t="s">
        <v>1039</v>
      </c>
      <c r="E235" s="170" t="s">
        <v>701</v>
      </c>
      <c r="F235" s="177" t="s">
        <v>702</v>
      </c>
      <c r="G235" s="176" t="s">
        <v>703</v>
      </c>
      <c r="H235" s="178" t="s">
        <v>130</v>
      </c>
    </row>
    <row r="236" spans="1:8" ht="15.75" customHeight="1">
      <c r="A236" s="288"/>
      <c r="B236" s="173" t="s">
        <v>1062</v>
      </c>
      <c r="C236" s="173" t="s">
        <v>1063</v>
      </c>
      <c r="D236" s="173" t="s">
        <v>1039</v>
      </c>
      <c r="E236" s="170" t="s">
        <v>701</v>
      </c>
      <c r="F236" s="174" t="s">
        <v>702</v>
      </c>
      <c r="G236" s="173" t="s">
        <v>709</v>
      </c>
      <c r="H236" s="175" t="s">
        <v>130</v>
      </c>
    </row>
    <row r="237" spans="1:8" ht="15.75" customHeight="1">
      <c r="A237" s="288"/>
      <c r="B237" s="176" t="s">
        <v>1064</v>
      </c>
      <c r="C237" s="176" t="s">
        <v>1065</v>
      </c>
      <c r="D237" s="176" t="s">
        <v>1039</v>
      </c>
      <c r="E237" s="170" t="s">
        <v>701</v>
      </c>
      <c r="F237" s="177" t="s">
        <v>702</v>
      </c>
      <c r="G237" s="176" t="s">
        <v>703</v>
      </c>
      <c r="H237" s="178" t="s">
        <v>130</v>
      </c>
    </row>
    <row r="238" spans="1:8" ht="15.75" customHeight="1">
      <c r="A238" s="288"/>
      <c r="B238" s="173" t="s">
        <v>1066</v>
      </c>
      <c r="C238" s="173" t="s">
        <v>1067</v>
      </c>
      <c r="D238" s="173" t="s">
        <v>1039</v>
      </c>
      <c r="E238" s="170" t="s">
        <v>701</v>
      </c>
      <c r="F238" s="174" t="s">
        <v>702</v>
      </c>
      <c r="G238" s="173" t="s">
        <v>726</v>
      </c>
      <c r="H238" s="175" t="s">
        <v>130</v>
      </c>
    </row>
    <row r="239" spans="1:8" ht="15.75" customHeight="1">
      <c r="A239" s="288"/>
      <c r="B239" s="176" t="s">
        <v>1068</v>
      </c>
      <c r="C239" s="176" t="s">
        <v>1069</v>
      </c>
      <c r="D239" s="176" t="s">
        <v>1039</v>
      </c>
      <c r="E239" s="170" t="s">
        <v>701</v>
      </c>
      <c r="F239" s="177" t="s">
        <v>702</v>
      </c>
      <c r="G239" s="176" t="s">
        <v>709</v>
      </c>
      <c r="H239" s="178" t="s">
        <v>130</v>
      </c>
    </row>
    <row r="240" spans="1:8" ht="15.75" customHeight="1">
      <c r="A240" s="288"/>
      <c r="B240" s="173" t="s">
        <v>1070</v>
      </c>
      <c r="C240" s="173" t="s">
        <v>1071</v>
      </c>
      <c r="D240" s="173" t="s">
        <v>1039</v>
      </c>
      <c r="E240" s="170" t="s">
        <v>701</v>
      </c>
      <c r="F240" s="174" t="s">
        <v>702</v>
      </c>
      <c r="G240" s="173" t="s">
        <v>703</v>
      </c>
      <c r="H240" s="175" t="s">
        <v>130</v>
      </c>
    </row>
    <row r="241" spans="1:8" ht="15.75" customHeight="1">
      <c r="A241" s="288"/>
      <c r="B241" s="176" t="s">
        <v>1072</v>
      </c>
      <c r="C241" s="176" t="s">
        <v>1073</v>
      </c>
      <c r="D241" s="176" t="s">
        <v>1039</v>
      </c>
      <c r="E241" s="170" t="s">
        <v>701</v>
      </c>
      <c r="F241" s="177" t="s">
        <v>702</v>
      </c>
      <c r="G241" s="176" t="s">
        <v>709</v>
      </c>
      <c r="H241" s="178" t="s">
        <v>130</v>
      </c>
    </row>
    <row r="242" spans="1:8" ht="15.75" customHeight="1">
      <c r="A242" s="288"/>
      <c r="B242" s="173" t="s">
        <v>1074</v>
      </c>
      <c r="C242" s="173" t="s">
        <v>1075</v>
      </c>
      <c r="D242" s="173" t="s">
        <v>1039</v>
      </c>
      <c r="E242" s="170" t="s">
        <v>701</v>
      </c>
      <c r="F242" s="174" t="s">
        <v>702</v>
      </c>
      <c r="G242" s="173" t="s">
        <v>703</v>
      </c>
      <c r="H242" s="175" t="s">
        <v>130</v>
      </c>
    </row>
    <row r="243" spans="1:8" ht="15.75" customHeight="1">
      <c r="A243" s="288"/>
      <c r="B243" s="176" t="s">
        <v>1076</v>
      </c>
      <c r="C243" s="176" t="s">
        <v>1077</v>
      </c>
      <c r="D243" s="176" t="s">
        <v>1039</v>
      </c>
      <c r="E243" s="170" t="s">
        <v>701</v>
      </c>
      <c r="F243" s="177" t="s">
        <v>702</v>
      </c>
      <c r="G243" s="176" t="s">
        <v>709</v>
      </c>
      <c r="H243" s="178" t="s">
        <v>130</v>
      </c>
    </row>
    <row r="244" spans="1:8" ht="15.75" customHeight="1">
      <c r="A244" s="288"/>
      <c r="B244" s="173" t="s">
        <v>1078</v>
      </c>
      <c r="C244" s="173" t="s">
        <v>1079</v>
      </c>
      <c r="D244" s="173" t="s">
        <v>1039</v>
      </c>
      <c r="E244" s="170" t="s">
        <v>701</v>
      </c>
      <c r="F244" s="174" t="s">
        <v>702</v>
      </c>
      <c r="G244" s="173" t="s">
        <v>726</v>
      </c>
      <c r="H244" s="175" t="s">
        <v>130</v>
      </c>
    </row>
    <row r="245" spans="1:8" ht="15.75" customHeight="1">
      <c r="A245" s="288"/>
      <c r="B245" s="176" t="s">
        <v>1080</v>
      </c>
      <c r="C245" s="176" t="s">
        <v>1081</v>
      </c>
      <c r="D245" s="176" t="s">
        <v>1039</v>
      </c>
      <c r="E245" s="170" t="s">
        <v>701</v>
      </c>
      <c r="F245" s="177" t="s">
        <v>702</v>
      </c>
      <c r="G245" s="176" t="s">
        <v>740</v>
      </c>
      <c r="H245" s="178" t="s">
        <v>130</v>
      </c>
    </row>
    <row r="246" spans="1:8" ht="15.75" customHeight="1">
      <c r="A246" s="288"/>
      <c r="B246" s="173" t="s">
        <v>1082</v>
      </c>
      <c r="C246" s="173" t="s">
        <v>1083</v>
      </c>
      <c r="D246" s="173" t="s">
        <v>1039</v>
      </c>
      <c r="E246" s="170" t="s">
        <v>701</v>
      </c>
      <c r="F246" s="174" t="s">
        <v>702</v>
      </c>
      <c r="G246" s="173" t="s">
        <v>703</v>
      </c>
      <c r="H246" s="175" t="s">
        <v>130</v>
      </c>
    </row>
    <row r="247" spans="1:8" ht="15.75" customHeight="1">
      <c r="A247" s="288"/>
      <c r="B247" s="176" t="s">
        <v>1084</v>
      </c>
      <c r="C247" s="176" t="s">
        <v>1085</v>
      </c>
      <c r="D247" s="176" t="s">
        <v>1039</v>
      </c>
      <c r="E247" s="170" t="s">
        <v>701</v>
      </c>
      <c r="F247" s="177" t="s">
        <v>702</v>
      </c>
      <c r="G247" s="176" t="s">
        <v>703</v>
      </c>
      <c r="H247" s="178" t="s">
        <v>130</v>
      </c>
    </row>
    <row r="248" spans="1:8" ht="15.75" customHeight="1">
      <c r="A248" s="288"/>
      <c r="B248" s="173" t="s">
        <v>1086</v>
      </c>
      <c r="C248" s="173" t="s">
        <v>1087</v>
      </c>
      <c r="D248" s="173" t="s">
        <v>1039</v>
      </c>
      <c r="E248" s="170" t="s">
        <v>701</v>
      </c>
      <c r="F248" s="174" t="s">
        <v>702</v>
      </c>
      <c r="G248" s="173" t="s">
        <v>726</v>
      </c>
      <c r="H248" s="175" t="s">
        <v>130</v>
      </c>
    </row>
    <row r="249" spans="1:8" ht="15.75" customHeight="1">
      <c r="A249" s="288"/>
      <c r="B249" s="176" t="s">
        <v>1088</v>
      </c>
      <c r="C249" s="176" t="s">
        <v>1089</v>
      </c>
      <c r="D249" s="176" t="s">
        <v>1039</v>
      </c>
      <c r="E249" s="170" t="s">
        <v>701</v>
      </c>
      <c r="F249" s="177" t="s">
        <v>702</v>
      </c>
      <c r="G249" s="176" t="s">
        <v>709</v>
      </c>
      <c r="H249" s="178" t="s">
        <v>130</v>
      </c>
    </row>
    <row r="250" spans="1:8" ht="15.75" customHeight="1">
      <c r="A250" s="288"/>
      <c r="B250" s="173" t="s">
        <v>1090</v>
      </c>
      <c r="C250" s="173" t="s">
        <v>1091</v>
      </c>
      <c r="D250" s="173" t="s">
        <v>1039</v>
      </c>
      <c r="E250" s="170" t="s">
        <v>701</v>
      </c>
      <c r="F250" s="174" t="s">
        <v>702</v>
      </c>
      <c r="G250" s="173" t="s">
        <v>709</v>
      </c>
      <c r="H250" s="175" t="s">
        <v>130</v>
      </c>
    </row>
    <row r="251" spans="1:8" ht="15.75" customHeight="1">
      <c r="A251" s="288"/>
      <c r="B251" s="176" t="s">
        <v>1092</v>
      </c>
      <c r="C251" s="176" t="s">
        <v>1093</v>
      </c>
      <c r="D251" s="176" t="s">
        <v>1039</v>
      </c>
      <c r="E251" s="170" t="s">
        <v>701</v>
      </c>
      <c r="F251" s="177" t="s">
        <v>702</v>
      </c>
      <c r="G251" s="176" t="s">
        <v>703</v>
      </c>
      <c r="H251" s="178" t="s">
        <v>130</v>
      </c>
    </row>
    <row r="252" spans="1:8" ht="15.75" customHeight="1">
      <c r="A252" s="288"/>
      <c r="B252" s="173" t="s">
        <v>1094</v>
      </c>
      <c r="C252" s="173" t="s">
        <v>1095</v>
      </c>
      <c r="D252" s="173" t="s">
        <v>1039</v>
      </c>
      <c r="E252" s="170" t="s">
        <v>701</v>
      </c>
      <c r="F252" s="174" t="s">
        <v>702</v>
      </c>
      <c r="G252" s="173" t="s">
        <v>709</v>
      </c>
      <c r="H252" s="175" t="s">
        <v>130</v>
      </c>
    </row>
    <row r="253" spans="1:8" ht="15.75" customHeight="1">
      <c r="A253" s="288"/>
      <c r="B253" s="176" t="s">
        <v>1096</v>
      </c>
      <c r="C253" s="176" t="s">
        <v>1097</v>
      </c>
      <c r="D253" s="176" t="s">
        <v>1039</v>
      </c>
      <c r="E253" s="170" t="s">
        <v>701</v>
      </c>
      <c r="F253" s="177" t="s">
        <v>702</v>
      </c>
      <c r="G253" s="176" t="s">
        <v>703</v>
      </c>
      <c r="H253" s="178" t="s">
        <v>130</v>
      </c>
    </row>
    <row r="254" spans="1:8" ht="15.75" customHeight="1">
      <c r="A254" s="289"/>
      <c r="B254" s="173" t="s">
        <v>1098</v>
      </c>
      <c r="C254" s="173" t="s">
        <v>1099</v>
      </c>
      <c r="D254" s="173" t="s">
        <v>1039</v>
      </c>
      <c r="E254" s="170" t="s">
        <v>701</v>
      </c>
      <c r="F254" s="174" t="s">
        <v>702</v>
      </c>
      <c r="G254" s="173" t="s">
        <v>709</v>
      </c>
      <c r="H254" s="175" t="s">
        <v>130</v>
      </c>
    </row>
    <row r="255" spans="1:8" ht="15.75" customHeight="1">
      <c r="A255" s="287" t="s">
        <v>1100</v>
      </c>
      <c r="B255" s="181">
        <v>1119</v>
      </c>
      <c r="C255" s="176" t="s">
        <v>1101</v>
      </c>
      <c r="D255" s="176" t="s">
        <v>1039</v>
      </c>
      <c r="E255" s="170" t="s">
        <v>701</v>
      </c>
      <c r="F255" s="177" t="s">
        <v>702</v>
      </c>
      <c r="G255" s="176" t="s">
        <v>726</v>
      </c>
      <c r="H255" s="178" t="s">
        <v>130</v>
      </c>
    </row>
    <row r="256" spans="1:8" ht="15.75" customHeight="1">
      <c r="A256" s="288"/>
      <c r="B256" s="182">
        <v>2083</v>
      </c>
      <c r="C256" s="173" t="s">
        <v>1102</v>
      </c>
      <c r="D256" s="173" t="s">
        <v>1039</v>
      </c>
      <c r="E256" s="170" t="s">
        <v>701</v>
      </c>
      <c r="F256" s="174" t="s">
        <v>702</v>
      </c>
      <c r="G256" s="173" t="s">
        <v>723</v>
      </c>
      <c r="H256" s="175" t="s">
        <v>130</v>
      </c>
    </row>
    <row r="257" spans="1:8" ht="15.75" customHeight="1">
      <c r="A257" s="288"/>
      <c r="B257" s="181">
        <v>2087</v>
      </c>
      <c r="C257" s="176" t="s">
        <v>1103</v>
      </c>
      <c r="D257" s="176" t="s">
        <v>1039</v>
      </c>
      <c r="E257" s="170" t="s">
        <v>701</v>
      </c>
      <c r="F257" s="177" t="s">
        <v>702</v>
      </c>
      <c r="G257" s="176" t="s">
        <v>740</v>
      </c>
      <c r="H257" s="178" t="s">
        <v>130</v>
      </c>
    </row>
    <row r="258" spans="1:8" ht="15.75" customHeight="1">
      <c r="A258" s="288"/>
      <c r="B258" s="182">
        <v>2099</v>
      </c>
      <c r="C258" s="173" t="s">
        <v>1104</v>
      </c>
      <c r="D258" s="173" t="s">
        <v>1039</v>
      </c>
      <c r="E258" s="170" t="s">
        <v>701</v>
      </c>
      <c r="F258" s="174" t="s">
        <v>702</v>
      </c>
      <c r="G258" s="173" t="s">
        <v>703</v>
      </c>
      <c r="H258" s="175" t="s">
        <v>130</v>
      </c>
    </row>
    <row r="259" spans="1:8" ht="15.75" customHeight="1">
      <c r="A259" s="288"/>
      <c r="B259" s="181">
        <v>2116</v>
      </c>
      <c r="C259" s="176" t="s">
        <v>1105</v>
      </c>
      <c r="D259" s="176" t="s">
        <v>1039</v>
      </c>
      <c r="E259" s="170" t="s">
        <v>701</v>
      </c>
      <c r="F259" s="177" t="s">
        <v>702</v>
      </c>
      <c r="G259" s="176" t="s">
        <v>726</v>
      </c>
      <c r="H259" s="178" t="s">
        <v>130</v>
      </c>
    </row>
    <row r="260" spans="1:8" ht="15.75" customHeight="1">
      <c r="A260" s="288"/>
      <c r="B260" s="173" t="s">
        <v>1106</v>
      </c>
      <c r="C260" s="173" t="s">
        <v>1107</v>
      </c>
      <c r="D260" s="173" t="s">
        <v>1039</v>
      </c>
      <c r="E260" s="170" t="s">
        <v>701</v>
      </c>
      <c r="F260" s="174" t="s">
        <v>702</v>
      </c>
      <c r="G260" s="173" t="s">
        <v>709</v>
      </c>
      <c r="H260" s="175" t="s">
        <v>130</v>
      </c>
    </row>
    <row r="261" spans="1:8" ht="15.75" customHeight="1">
      <c r="A261" s="288"/>
      <c r="B261" s="176" t="s">
        <v>1108</v>
      </c>
      <c r="C261" s="176" t="s">
        <v>1109</v>
      </c>
      <c r="D261" s="176" t="s">
        <v>1039</v>
      </c>
      <c r="E261" s="170" t="s">
        <v>701</v>
      </c>
      <c r="F261" s="177" t="s">
        <v>702</v>
      </c>
      <c r="G261" s="176" t="s">
        <v>703</v>
      </c>
      <c r="H261" s="178" t="s">
        <v>130</v>
      </c>
    </row>
    <row r="262" spans="1:8" ht="15.75" customHeight="1">
      <c r="A262" s="289"/>
      <c r="B262" s="173" t="s">
        <v>1110</v>
      </c>
      <c r="C262" s="173" t="s">
        <v>1111</v>
      </c>
      <c r="D262" s="173" t="s">
        <v>1039</v>
      </c>
      <c r="E262" s="170" t="s">
        <v>701</v>
      </c>
      <c r="F262" s="174" t="s">
        <v>702</v>
      </c>
      <c r="G262" s="173" t="s">
        <v>703</v>
      </c>
      <c r="H262" s="175" t="s">
        <v>130</v>
      </c>
    </row>
    <row r="263" spans="1:8" ht="15.75" customHeight="1">
      <c r="A263" s="287" t="s">
        <v>1112</v>
      </c>
      <c r="B263" s="283" t="s">
        <v>1113</v>
      </c>
      <c r="C263" s="283" t="s">
        <v>1114</v>
      </c>
      <c r="D263" s="283" t="s">
        <v>1039</v>
      </c>
      <c r="E263" s="183" t="s">
        <v>701</v>
      </c>
      <c r="F263" s="290" t="s">
        <v>702</v>
      </c>
      <c r="G263" s="283" t="s">
        <v>703</v>
      </c>
      <c r="H263" s="285" t="s">
        <v>130</v>
      </c>
    </row>
    <row r="264" spans="1:8" ht="15.75" customHeight="1">
      <c r="A264" s="289"/>
      <c r="B264" s="284"/>
      <c r="C264" s="284"/>
      <c r="D264" s="284"/>
      <c r="E264" s="170"/>
      <c r="F264" s="284"/>
      <c r="G264" s="284"/>
      <c r="H264" s="286"/>
    </row>
    <row r="265" spans="1:8" ht="15.75" customHeight="1">
      <c r="A265" s="287" t="s">
        <v>1115</v>
      </c>
      <c r="B265" s="173" t="s">
        <v>1116</v>
      </c>
      <c r="C265" s="173" t="s">
        <v>1117</v>
      </c>
      <c r="D265" s="173" t="s">
        <v>818</v>
      </c>
      <c r="E265" s="170" t="s">
        <v>701</v>
      </c>
      <c r="F265" s="174" t="s">
        <v>932</v>
      </c>
      <c r="G265" s="173" t="s">
        <v>703</v>
      </c>
      <c r="H265" s="175" t="s">
        <v>130</v>
      </c>
    </row>
    <row r="266" spans="1:8" ht="15.75" customHeight="1">
      <c r="A266" s="288"/>
      <c r="B266" s="176" t="s">
        <v>1118</v>
      </c>
      <c r="C266" s="176" t="s">
        <v>1119</v>
      </c>
      <c r="D266" s="176" t="s">
        <v>818</v>
      </c>
      <c r="E266" s="170" t="s">
        <v>701</v>
      </c>
      <c r="F266" s="177" t="s">
        <v>932</v>
      </c>
      <c r="G266" s="176" t="s">
        <v>703</v>
      </c>
      <c r="H266" s="178" t="s">
        <v>130</v>
      </c>
    </row>
    <row r="267" spans="1:8" ht="15.75" customHeight="1">
      <c r="A267" s="288"/>
      <c r="B267" s="173" t="s">
        <v>1120</v>
      </c>
      <c r="C267" s="173" t="s">
        <v>1121</v>
      </c>
      <c r="D267" s="173" t="s">
        <v>818</v>
      </c>
      <c r="E267" s="170" t="s">
        <v>701</v>
      </c>
      <c r="F267" s="174" t="s">
        <v>932</v>
      </c>
      <c r="G267" s="173" t="s">
        <v>703</v>
      </c>
      <c r="H267" s="175" t="s">
        <v>130</v>
      </c>
    </row>
    <row r="268" spans="1:8" ht="15.75" customHeight="1">
      <c r="A268" s="288"/>
      <c r="B268" s="176" t="s">
        <v>1122</v>
      </c>
      <c r="C268" s="176" t="s">
        <v>1123</v>
      </c>
      <c r="D268" s="176" t="s">
        <v>818</v>
      </c>
      <c r="E268" s="170" t="s">
        <v>701</v>
      </c>
      <c r="F268" s="177" t="s">
        <v>932</v>
      </c>
      <c r="G268" s="176" t="s">
        <v>703</v>
      </c>
      <c r="H268" s="178" t="s">
        <v>130</v>
      </c>
    </row>
    <row r="269" spans="1:8" ht="15.75" customHeight="1">
      <c r="A269" s="288"/>
      <c r="B269" s="173" t="s">
        <v>1124</v>
      </c>
      <c r="C269" s="173" t="s">
        <v>1125</v>
      </c>
      <c r="D269" s="173" t="s">
        <v>818</v>
      </c>
      <c r="E269" s="170" t="s">
        <v>701</v>
      </c>
      <c r="F269" s="174" t="s">
        <v>932</v>
      </c>
      <c r="G269" s="173" t="s">
        <v>703</v>
      </c>
      <c r="H269" s="175" t="s">
        <v>130</v>
      </c>
    </row>
    <row r="270" spans="1:8" ht="15.75" customHeight="1">
      <c r="A270" s="288"/>
      <c r="B270" s="176" t="s">
        <v>1126</v>
      </c>
      <c r="C270" s="176" t="s">
        <v>1127</v>
      </c>
      <c r="D270" s="176" t="s">
        <v>818</v>
      </c>
      <c r="E270" s="170" t="s">
        <v>701</v>
      </c>
      <c r="F270" s="177" t="s">
        <v>932</v>
      </c>
      <c r="G270" s="176" t="s">
        <v>703</v>
      </c>
      <c r="H270" s="178" t="s">
        <v>130</v>
      </c>
    </row>
    <row r="271" spans="1:8" ht="15.75" customHeight="1">
      <c r="A271" s="288"/>
      <c r="B271" s="173" t="s">
        <v>1128</v>
      </c>
      <c r="C271" s="173" t="s">
        <v>1129</v>
      </c>
      <c r="D271" s="173" t="s">
        <v>818</v>
      </c>
      <c r="E271" s="170" t="s">
        <v>701</v>
      </c>
      <c r="F271" s="174" t="s">
        <v>932</v>
      </c>
      <c r="G271" s="173" t="s">
        <v>709</v>
      </c>
      <c r="H271" s="175" t="s">
        <v>130</v>
      </c>
    </row>
    <row r="272" spans="1:8" ht="15.75" customHeight="1">
      <c r="A272" s="288"/>
      <c r="B272" s="176" t="s">
        <v>1130</v>
      </c>
      <c r="C272" s="176" t="s">
        <v>1131</v>
      </c>
      <c r="D272" s="176" t="s">
        <v>818</v>
      </c>
      <c r="E272" s="170" t="s">
        <v>701</v>
      </c>
      <c r="F272" s="177" t="s">
        <v>932</v>
      </c>
      <c r="G272" s="176" t="s">
        <v>709</v>
      </c>
      <c r="H272" s="178" t="s">
        <v>130</v>
      </c>
    </row>
    <row r="273" spans="1:8" ht="15.75" customHeight="1">
      <c r="A273" s="288"/>
      <c r="B273" s="173" t="s">
        <v>1132</v>
      </c>
      <c r="C273" s="173" t="s">
        <v>1133</v>
      </c>
      <c r="D273" s="173" t="s">
        <v>818</v>
      </c>
      <c r="E273" s="170" t="s">
        <v>701</v>
      </c>
      <c r="F273" s="174" t="s">
        <v>932</v>
      </c>
      <c r="G273" s="173" t="s">
        <v>703</v>
      </c>
      <c r="H273" s="175" t="s">
        <v>130</v>
      </c>
    </row>
    <row r="274" spans="1:8" ht="15.75" customHeight="1">
      <c r="A274" s="288"/>
      <c r="B274" s="176" t="s">
        <v>1134</v>
      </c>
      <c r="C274" s="176" t="s">
        <v>1135</v>
      </c>
      <c r="D274" s="176" t="s">
        <v>818</v>
      </c>
      <c r="E274" s="170" t="s">
        <v>701</v>
      </c>
      <c r="F274" s="177" t="s">
        <v>932</v>
      </c>
      <c r="G274" s="176" t="s">
        <v>726</v>
      </c>
      <c r="H274" s="178" t="s">
        <v>130</v>
      </c>
    </row>
    <row r="275" spans="1:8" ht="15.75" customHeight="1">
      <c r="A275" s="288"/>
      <c r="B275" s="173" t="s">
        <v>1136</v>
      </c>
      <c r="C275" s="173" t="s">
        <v>1137</v>
      </c>
      <c r="D275" s="173" t="s">
        <v>818</v>
      </c>
      <c r="E275" s="170" t="s">
        <v>701</v>
      </c>
      <c r="F275" s="174" t="s">
        <v>932</v>
      </c>
      <c r="G275" s="173" t="s">
        <v>709</v>
      </c>
      <c r="H275" s="175" t="s">
        <v>130</v>
      </c>
    </row>
    <row r="276" spans="1:8" ht="15.75" customHeight="1">
      <c r="A276" s="288"/>
      <c r="B276" s="176" t="s">
        <v>1138</v>
      </c>
      <c r="C276" s="176" t="s">
        <v>1139</v>
      </c>
      <c r="D276" s="176" t="s">
        <v>818</v>
      </c>
      <c r="E276" s="170" t="s">
        <v>701</v>
      </c>
      <c r="F276" s="177" t="s">
        <v>932</v>
      </c>
      <c r="G276" s="176" t="s">
        <v>703</v>
      </c>
      <c r="H276" s="178" t="s">
        <v>130</v>
      </c>
    </row>
    <row r="277" spans="1:8" ht="15.75" customHeight="1">
      <c r="A277" s="288"/>
      <c r="B277" s="173" t="s">
        <v>1140</v>
      </c>
      <c r="C277" s="173" t="s">
        <v>1141</v>
      </c>
      <c r="D277" s="173" t="s">
        <v>818</v>
      </c>
      <c r="E277" s="170" t="s">
        <v>701</v>
      </c>
      <c r="F277" s="174" t="s">
        <v>932</v>
      </c>
      <c r="G277" s="173" t="s">
        <v>703</v>
      </c>
      <c r="H277" s="175" t="s">
        <v>130</v>
      </c>
    </row>
    <row r="278" spans="1:8" ht="15.75" customHeight="1">
      <c r="A278" s="288"/>
      <c r="B278" s="176" t="s">
        <v>1142</v>
      </c>
      <c r="C278" s="176" t="s">
        <v>1143</v>
      </c>
      <c r="D278" s="176" t="s">
        <v>818</v>
      </c>
      <c r="E278" s="170" t="s">
        <v>701</v>
      </c>
      <c r="F278" s="177" t="s">
        <v>932</v>
      </c>
      <c r="G278" s="176" t="s">
        <v>706</v>
      </c>
      <c r="H278" s="178" t="s">
        <v>130</v>
      </c>
    </row>
    <row r="279" spans="1:8" ht="15.75" customHeight="1">
      <c r="A279" s="288"/>
      <c r="B279" s="173" t="s">
        <v>1144</v>
      </c>
      <c r="C279" s="173" t="s">
        <v>1145</v>
      </c>
      <c r="D279" s="173" t="s">
        <v>818</v>
      </c>
      <c r="E279" s="170" t="s">
        <v>701</v>
      </c>
      <c r="F279" s="174" t="s">
        <v>932</v>
      </c>
      <c r="G279" s="173" t="s">
        <v>709</v>
      </c>
      <c r="H279" s="175" t="s">
        <v>130</v>
      </c>
    </row>
    <row r="280" spans="1:8" ht="15.75" customHeight="1">
      <c r="A280" s="288"/>
      <c r="B280" s="176" t="s">
        <v>1146</v>
      </c>
      <c r="C280" s="176" t="s">
        <v>1147</v>
      </c>
      <c r="D280" s="176" t="s">
        <v>818</v>
      </c>
      <c r="E280" s="170" t="s">
        <v>701</v>
      </c>
      <c r="F280" s="177" t="s">
        <v>932</v>
      </c>
      <c r="G280" s="176" t="s">
        <v>726</v>
      </c>
      <c r="H280" s="178" t="s">
        <v>130</v>
      </c>
    </row>
    <row r="281" spans="1:8" ht="15.75" customHeight="1">
      <c r="A281" s="288"/>
      <c r="B281" s="173" t="s">
        <v>1148</v>
      </c>
      <c r="C281" s="173" t="s">
        <v>1149</v>
      </c>
      <c r="D281" s="173" t="s">
        <v>818</v>
      </c>
      <c r="E281" s="170" t="s">
        <v>701</v>
      </c>
      <c r="F281" s="174" t="s">
        <v>932</v>
      </c>
      <c r="G281" s="173" t="s">
        <v>709</v>
      </c>
      <c r="H281" s="175" t="s">
        <v>130</v>
      </c>
    </row>
    <row r="282" spans="1:8" ht="15.75" customHeight="1">
      <c r="A282" s="288"/>
      <c r="B282" s="176" t="s">
        <v>1150</v>
      </c>
      <c r="C282" s="176" t="s">
        <v>1151</v>
      </c>
      <c r="D282" s="176" t="s">
        <v>818</v>
      </c>
      <c r="E282" s="170" t="s">
        <v>701</v>
      </c>
      <c r="F282" s="177" t="s">
        <v>932</v>
      </c>
      <c r="G282" s="176" t="s">
        <v>709</v>
      </c>
      <c r="H282" s="178" t="s">
        <v>130</v>
      </c>
    </row>
    <row r="283" spans="1:8" ht="15.75" customHeight="1">
      <c r="A283" s="288"/>
      <c r="B283" s="173" t="s">
        <v>1152</v>
      </c>
      <c r="C283" s="173" t="s">
        <v>1153</v>
      </c>
      <c r="D283" s="173" t="s">
        <v>818</v>
      </c>
      <c r="E283" s="170" t="s">
        <v>701</v>
      </c>
      <c r="F283" s="174" t="s">
        <v>932</v>
      </c>
      <c r="G283" s="173" t="s">
        <v>706</v>
      </c>
      <c r="H283" s="175" t="s">
        <v>130</v>
      </c>
    </row>
    <row r="284" spans="1:8" ht="15.75" customHeight="1">
      <c r="A284" s="288"/>
      <c r="B284" s="176" t="s">
        <v>1154</v>
      </c>
      <c r="C284" s="176" t="s">
        <v>1155</v>
      </c>
      <c r="D284" s="176" t="s">
        <v>818</v>
      </c>
      <c r="E284" s="170" t="s">
        <v>701</v>
      </c>
      <c r="F284" s="177" t="s">
        <v>932</v>
      </c>
      <c r="G284" s="176" t="s">
        <v>703</v>
      </c>
      <c r="H284" s="178" t="s">
        <v>130</v>
      </c>
    </row>
    <row r="285" spans="1:8" ht="15.75" customHeight="1">
      <c r="A285" s="288"/>
      <c r="B285" s="173" t="s">
        <v>1156</v>
      </c>
      <c r="C285" s="173" t="s">
        <v>1157</v>
      </c>
      <c r="D285" s="173" t="s">
        <v>818</v>
      </c>
      <c r="E285" s="170" t="s">
        <v>701</v>
      </c>
      <c r="F285" s="174" t="s">
        <v>932</v>
      </c>
      <c r="G285" s="173" t="s">
        <v>1059</v>
      </c>
      <c r="H285" s="175" t="s">
        <v>130</v>
      </c>
    </row>
    <row r="286" spans="1:8" ht="15.75" customHeight="1">
      <c r="A286" s="288"/>
      <c r="B286" s="176" t="s">
        <v>1158</v>
      </c>
      <c r="C286" s="176" t="s">
        <v>1159</v>
      </c>
      <c r="D286" s="176" t="s">
        <v>818</v>
      </c>
      <c r="E286" s="170" t="s">
        <v>701</v>
      </c>
      <c r="F286" s="177" t="s">
        <v>932</v>
      </c>
      <c r="G286" s="176" t="s">
        <v>703</v>
      </c>
      <c r="H286" s="178" t="s">
        <v>130</v>
      </c>
    </row>
    <row r="287" spans="1:8" ht="15.75" customHeight="1">
      <c r="A287" s="288"/>
      <c r="B287" s="173" t="s">
        <v>1160</v>
      </c>
      <c r="C287" s="173" t="s">
        <v>1161</v>
      </c>
      <c r="D287" s="173" t="s">
        <v>818</v>
      </c>
      <c r="E287" s="170" t="s">
        <v>701</v>
      </c>
      <c r="F287" s="174" t="s">
        <v>932</v>
      </c>
      <c r="G287" s="173" t="s">
        <v>703</v>
      </c>
      <c r="H287" s="175" t="s">
        <v>130</v>
      </c>
    </row>
    <row r="288" spans="1:8" ht="15.75" customHeight="1">
      <c r="A288" s="288"/>
      <c r="B288" s="176" t="s">
        <v>1162</v>
      </c>
      <c r="C288" s="176" t="s">
        <v>1163</v>
      </c>
      <c r="D288" s="176" t="s">
        <v>818</v>
      </c>
      <c r="E288" s="170" t="s">
        <v>701</v>
      </c>
      <c r="F288" s="177" t="s">
        <v>932</v>
      </c>
      <c r="G288" s="176" t="s">
        <v>726</v>
      </c>
      <c r="H288" s="178" t="s">
        <v>130</v>
      </c>
    </row>
    <row r="289" spans="1:8" ht="15.75" customHeight="1">
      <c r="A289" s="288"/>
      <c r="B289" s="173" t="s">
        <v>1164</v>
      </c>
      <c r="C289" s="173" t="s">
        <v>1165</v>
      </c>
      <c r="D289" s="173" t="s">
        <v>818</v>
      </c>
      <c r="E289" s="170" t="s">
        <v>701</v>
      </c>
      <c r="F289" s="174" t="s">
        <v>932</v>
      </c>
      <c r="G289" s="173" t="s">
        <v>726</v>
      </c>
      <c r="H289" s="175" t="s">
        <v>130</v>
      </c>
    </row>
    <row r="290" spans="1:8" ht="15.75" customHeight="1">
      <c r="A290" s="288"/>
      <c r="B290" s="176" t="s">
        <v>1166</v>
      </c>
      <c r="C290" s="176" t="s">
        <v>1167</v>
      </c>
      <c r="D290" s="176" t="s">
        <v>818</v>
      </c>
      <c r="E290" s="170" t="s">
        <v>701</v>
      </c>
      <c r="F290" s="177" t="s">
        <v>932</v>
      </c>
      <c r="G290" s="176" t="s">
        <v>726</v>
      </c>
      <c r="H290" s="178" t="s">
        <v>130</v>
      </c>
    </row>
    <row r="291" spans="1:8" ht="15.75" customHeight="1">
      <c r="A291" s="288"/>
      <c r="B291" s="173" t="s">
        <v>1168</v>
      </c>
      <c r="C291" s="173" t="s">
        <v>1169</v>
      </c>
      <c r="D291" s="173" t="s">
        <v>818</v>
      </c>
      <c r="E291" s="170" t="s">
        <v>701</v>
      </c>
      <c r="F291" s="174" t="s">
        <v>932</v>
      </c>
      <c r="G291" s="173" t="s">
        <v>709</v>
      </c>
      <c r="H291" s="175" t="s">
        <v>130</v>
      </c>
    </row>
    <row r="292" spans="1:8" ht="15.75" customHeight="1">
      <c r="A292" s="288"/>
      <c r="B292" s="176" t="s">
        <v>1170</v>
      </c>
      <c r="C292" s="176" t="s">
        <v>1171</v>
      </c>
      <c r="D292" s="176" t="s">
        <v>818</v>
      </c>
      <c r="E292" s="170" t="s">
        <v>701</v>
      </c>
      <c r="F292" s="177" t="s">
        <v>932</v>
      </c>
      <c r="G292" s="176" t="s">
        <v>726</v>
      </c>
      <c r="H292" s="178" t="s">
        <v>130</v>
      </c>
    </row>
    <row r="293" spans="1:8" ht="15.75" customHeight="1">
      <c r="A293" s="288"/>
      <c r="B293" s="173" t="s">
        <v>1172</v>
      </c>
      <c r="C293" s="173" t="s">
        <v>1173</v>
      </c>
      <c r="D293" s="173" t="s">
        <v>818</v>
      </c>
      <c r="E293" s="170" t="s">
        <v>701</v>
      </c>
      <c r="F293" s="174" t="s">
        <v>932</v>
      </c>
      <c r="G293" s="173" t="s">
        <v>726</v>
      </c>
      <c r="H293" s="175" t="s">
        <v>130</v>
      </c>
    </row>
    <row r="294" spans="1:8" ht="15.75" customHeight="1">
      <c r="A294" s="288"/>
      <c r="B294" s="176" t="s">
        <v>1174</v>
      </c>
      <c r="C294" s="176" t="s">
        <v>1175</v>
      </c>
      <c r="D294" s="176" t="s">
        <v>818</v>
      </c>
      <c r="E294" s="170" t="s">
        <v>701</v>
      </c>
      <c r="F294" s="177" t="s">
        <v>932</v>
      </c>
      <c r="G294" s="176" t="s">
        <v>709</v>
      </c>
      <c r="H294" s="178" t="s">
        <v>130</v>
      </c>
    </row>
    <row r="295" spans="1:8" ht="15.75" customHeight="1">
      <c r="A295" s="288"/>
      <c r="B295" s="173" t="s">
        <v>1176</v>
      </c>
      <c r="C295" s="173" t="s">
        <v>1177</v>
      </c>
      <c r="D295" s="173" t="s">
        <v>818</v>
      </c>
      <c r="E295" s="170" t="s">
        <v>701</v>
      </c>
      <c r="F295" s="174" t="s">
        <v>932</v>
      </c>
      <c r="G295" s="173" t="s">
        <v>703</v>
      </c>
      <c r="H295" s="175" t="s">
        <v>130</v>
      </c>
    </row>
    <row r="296" spans="1:8" ht="15.75" customHeight="1">
      <c r="A296" s="288"/>
      <c r="B296" s="176" t="s">
        <v>1178</v>
      </c>
      <c r="C296" s="176" t="s">
        <v>1179</v>
      </c>
      <c r="D296" s="176" t="s">
        <v>818</v>
      </c>
      <c r="E296" s="170" t="s">
        <v>701</v>
      </c>
      <c r="F296" s="177" t="s">
        <v>932</v>
      </c>
      <c r="G296" s="176" t="s">
        <v>726</v>
      </c>
      <c r="H296" s="178" t="s">
        <v>130</v>
      </c>
    </row>
    <row r="297" spans="1:8" ht="15.75" customHeight="1">
      <c r="A297" s="288"/>
      <c r="B297" s="173" t="s">
        <v>1180</v>
      </c>
      <c r="C297" s="173" t="s">
        <v>1181</v>
      </c>
      <c r="D297" s="173" t="s">
        <v>818</v>
      </c>
      <c r="E297" s="170" t="s">
        <v>701</v>
      </c>
      <c r="F297" s="174" t="s">
        <v>932</v>
      </c>
      <c r="G297" s="173" t="s">
        <v>723</v>
      </c>
      <c r="H297" s="175" t="s">
        <v>130</v>
      </c>
    </row>
    <row r="298" spans="1:8" ht="15.75" customHeight="1">
      <c r="A298" s="288"/>
      <c r="B298" s="176" t="s">
        <v>1182</v>
      </c>
      <c r="C298" s="176" t="s">
        <v>1183</v>
      </c>
      <c r="D298" s="176" t="s">
        <v>818</v>
      </c>
      <c r="E298" s="170" t="s">
        <v>701</v>
      </c>
      <c r="F298" s="177" t="s">
        <v>932</v>
      </c>
      <c r="G298" s="176" t="s">
        <v>726</v>
      </c>
      <c r="H298" s="178" t="s">
        <v>130</v>
      </c>
    </row>
    <row r="299" spans="1:8" ht="15.75" customHeight="1">
      <c r="A299" s="288"/>
      <c r="B299" s="173" t="s">
        <v>1184</v>
      </c>
      <c r="C299" s="173" t="s">
        <v>1185</v>
      </c>
      <c r="D299" s="173" t="s">
        <v>818</v>
      </c>
      <c r="E299" s="170" t="s">
        <v>701</v>
      </c>
      <c r="F299" s="174" t="s">
        <v>932</v>
      </c>
      <c r="G299" s="173" t="s">
        <v>709</v>
      </c>
      <c r="H299" s="175" t="s">
        <v>130</v>
      </c>
    </row>
    <row r="300" spans="1:8" ht="15.75" customHeight="1">
      <c r="A300" s="288"/>
      <c r="B300" s="176" t="s">
        <v>1186</v>
      </c>
      <c r="C300" s="176" t="s">
        <v>1187</v>
      </c>
      <c r="D300" s="176" t="s">
        <v>818</v>
      </c>
      <c r="E300" s="170" t="s">
        <v>701</v>
      </c>
      <c r="F300" s="177" t="s">
        <v>932</v>
      </c>
      <c r="G300" s="176" t="s">
        <v>703</v>
      </c>
      <c r="H300" s="178" t="s">
        <v>130</v>
      </c>
    </row>
    <row r="301" spans="1:8" ht="15.75" customHeight="1">
      <c r="A301" s="288"/>
      <c r="B301" s="173" t="s">
        <v>1188</v>
      </c>
      <c r="C301" s="173" t="s">
        <v>1189</v>
      </c>
      <c r="D301" s="173" t="s">
        <v>818</v>
      </c>
      <c r="E301" s="170" t="s">
        <v>701</v>
      </c>
      <c r="F301" s="174" t="s">
        <v>932</v>
      </c>
      <c r="G301" s="173" t="s">
        <v>709</v>
      </c>
      <c r="H301" s="175" t="s">
        <v>130</v>
      </c>
    </row>
    <row r="302" spans="1:8" ht="15.75" customHeight="1">
      <c r="A302" s="288"/>
      <c r="B302" s="176" t="s">
        <v>1190</v>
      </c>
      <c r="C302" s="176" t="s">
        <v>1191</v>
      </c>
      <c r="D302" s="176" t="s">
        <v>818</v>
      </c>
      <c r="E302" s="170" t="s">
        <v>701</v>
      </c>
      <c r="F302" s="177" t="s">
        <v>932</v>
      </c>
      <c r="G302" s="176" t="s">
        <v>723</v>
      </c>
      <c r="H302" s="178" t="s">
        <v>130</v>
      </c>
    </row>
    <row r="303" spans="1:8" ht="15.75" customHeight="1">
      <c r="A303" s="288"/>
      <c r="B303" s="173" t="s">
        <v>1192</v>
      </c>
      <c r="C303" s="173" t="s">
        <v>1193</v>
      </c>
      <c r="D303" s="173" t="s">
        <v>818</v>
      </c>
      <c r="E303" s="170" t="s">
        <v>701</v>
      </c>
      <c r="F303" s="174" t="s">
        <v>932</v>
      </c>
      <c r="G303" s="173" t="s">
        <v>703</v>
      </c>
      <c r="H303" s="175" t="s">
        <v>130</v>
      </c>
    </row>
    <row r="304" spans="1:8" ht="15.75" customHeight="1">
      <c r="A304" s="288"/>
      <c r="B304" s="176" t="s">
        <v>1194</v>
      </c>
      <c r="C304" s="176" t="s">
        <v>1195</v>
      </c>
      <c r="D304" s="176" t="s">
        <v>818</v>
      </c>
      <c r="E304" s="170" t="s">
        <v>701</v>
      </c>
      <c r="F304" s="177" t="s">
        <v>932</v>
      </c>
      <c r="G304" s="176" t="s">
        <v>723</v>
      </c>
      <c r="H304" s="178" t="s">
        <v>130</v>
      </c>
    </row>
    <row r="305" spans="1:8" ht="15.75" customHeight="1">
      <c r="A305" s="288"/>
      <c r="B305" s="173" t="s">
        <v>1196</v>
      </c>
      <c r="C305" s="173" t="s">
        <v>1197</v>
      </c>
      <c r="D305" s="173" t="s">
        <v>818</v>
      </c>
      <c r="E305" s="170" t="s">
        <v>701</v>
      </c>
      <c r="F305" s="174" t="s">
        <v>932</v>
      </c>
      <c r="G305" s="173" t="s">
        <v>703</v>
      </c>
      <c r="H305" s="175" t="s">
        <v>130</v>
      </c>
    </row>
    <row r="306" spans="1:8" ht="15.75" customHeight="1">
      <c r="A306" s="288"/>
      <c r="B306" s="176" t="s">
        <v>1198</v>
      </c>
      <c r="C306" s="176" t="s">
        <v>1199</v>
      </c>
      <c r="D306" s="176" t="s">
        <v>818</v>
      </c>
      <c r="E306" s="170" t="s">
        <v>701</v>
      </c>
      <c r="F306" s="177" t="s">
        <v>932</v>
      </c>
      <c r="G306" s="176" t="s">
        <v>703</v>
      </c>
      <c r="H306" s="178" t="s">
        <v>130</v>
      </c>
    </row>
    <row r="307" spans="1:8" ht="15.75" customHeight="1">
      <c r="A307" s="288"/>
      <c r="B307" s="173" t="s">
        <v>1200</v>
      </c>
      <c r="C307" s="173" t="s">
        <v>1201</v>
      </c>
      <c r="D307" s="173" t="s">
        <v>818</v>
      </c>
      <c r="E307" s="170" t="s">
        <v>701</v>
      </c>
      <c r="F307" s="174" t="s">
        <v>932</v>
      </c>
      <c r="G307" s="173" t="s">
        <v>1202</v>
      </c>
      <c r="H307" s="175" t="s">
        <v>130</v>
      </c>
    </row>
    <row r="308" spans="1:8" ht="15.75" customHeight="1">
      <c r="A308" s="288"/>
      <c r="B308" s="176" t="s">
        <v>1203</v>
      </c>
      <c r="C308" s="176" t="s">
        <v>1204</v>
      </c>
      <c r="D308" s="176" t="s">
        <v>818</v>
      </c>
      <c r="E308" s="170" t="s">
        <v>701</v>
      </c>
      <c r="F308" s="177" t="s">
        <v>932</v>
      </c>
      <c r="G308" s="176" t="s">
        <v>709</v>
      </c>
      <c r="H308" s="178" t="s">
        <v>130</v>
      </c>
    </row>
    <row r="309" spans="1:8" ht="15.75" customHeight="1">
      <c r="A309" s="288"/>
      <c r="B309" s="173" t="s">
        <v>1205</v>
      </c>
      <c r="C309" s="173" t="s">
        <v>1206</v>
      </c>
      <c r="D309" s="173" t="s">
        <v>818</v>
      </c>
      <c r="E309" s="170" t="s">
        <v>701</v>
      </c>
      <c r="F309" s="174" t="s">
        <v>932</v>
      </c>
      <c r="G309" s="173" t="s">
        <v>703</v>
      </c>
      <c r="H309" s="175" t="s">
        <v>130</v>
      </c>
    </row>
    <row r="310" spans="1:8" ht="15.75" customHeight="1">
      <c r="A310" s="288"/>
      <c r="B310" s="176" t="s">
        <v>1207</v>
      </c>
      <c r="C310" s="176" t="s">
        <v>1208</v>
      </c>
      <c r="D310" s="176" t="s">
        <v>818</v>
      </c>
      <c r="E310" s="170" t="s">
        <v>701</v>
      </c>
      <c r="F310" s="177" t="s">
        <v>932</v>
      </c>
      <c r="G310" s="176" t="s">
        <v>709</v>
      </c>
      <c r="H310" s="178" t="s">
        <v>130</v>
      </c>
    </row>
    <row r="311" spans="1:8" ht="15.75" customHeight="1">
      <c r="A311" s="288"/>
      <c r="B311" s="173" t="s">
        <v>1209</v>
      </c>
      <c r="C311" s="173" t="s">
        <v>1210</v>
      </c>
      <c r="D311" s="173" t="s">
        <v>818</v>
      </c>
      <c r="E311" s="170" t="s">
        <v>701</v>
      </c>
      <c r="F311" s="174" t="s">
        <v>932</v>
      </c>
      <c r="G311" s="173" t="s">
        <v>723</v>
      </c>
      <c r="H311" s="175" t="s">
        <v>130</v>
      </c>
    </row>
    <row r="312" spans="1:8" ht="15.75" customHeight="1">
      <c r="A312" s="288"/>
      <c r="B312" s="176" t="s">
        <v>1211</v>
      </c>
      <c r="C312" s="176" t="s">
        <v>1212</v>
      </c>
      <c r="D312" s="176" t="s">
        <v>818</v>
      </c>
      <c r="E312" s="170" t="s">
        <v>701</v>
      </c>
      <c r="F312" s="177" t="s">
        <v>932</v>
      </c>
      <c r="G312" s="176" t="s">
        <v>703</v>
      </c>
      <c r="H312" s="178" t="s">
        <v>130</v>
      </c>
    </row>
    <row r="313" spans="1:8" ht="15.75" customHeight="1">
      <c r="A313" s="288"/>
      <c r="B313" s="173" t="s">
        <v>1213</v>
      </c>
      <c r="C313" s="173" t="s">
        <v>1214</v>
      </c>
      <c r="D313" s="173" t="s">
        <v>818</v>
      </c>
      <c r="E313" s="170" t="s">
        <v>701</v>
      </c>
      <c r="F313" s="174" t="s">
        <v>932</v>
      </c>
      <c r="G313" s="173" t="s">
        <v>703</v>
      </c>
      <c r="H313" s="175" t="s">
        <v>130</v>
      </c>
    </row>
    <row r="314" spans="1:8" ht="15.75" customHeight="1">
      <c r="A314" s="288"/>
      <c r="B314" s="176" t="s">
        <v>1215</v>
      </c>
      <c r="C314" s="176" t="s">
        <v>1216</v>
      </c>
      <c r="D314" s="176" t="s">
        <v>818</v>
      </c>
      <c r="E314" s="170" t="s">
        <v>701</v>
      </c>
      <c r="F314" s="177" t="s">
        <v>932</v>
      </c>
      <c r="G314" s="176" t="s">
        <v>706</v>
      </c>
      <c r="H314" s="178" t="s">
        <v>130</v>
      </c>
    </row>
    <row r="315" spans="1:8" ht="15.75" customHeight="1">
      <c r="A315" s="288"/>
      <c r="B315" s="173" t="s">
        <v>1217</v>
      </c>
      <c r="C315" s="173" t="s">
        <v>1218</v>
      </c>
      <c r="D315" s="173" t="s">
        <v>818</v>
      </c>
      <c r="E315" s="170" t="s">
        <v>701</v>
      </c>
      <c r="F315" s="174" t="s">
        <v>932</v>
      </c>
      <c r="G315" s="173" t="s">
        <v>709</v>
      </c>
      <c r="H315" s="175" t="s">
        <v>130</v>
      </c>
    </row>
    <row r="316" spans="1:8" ht="15.75" customHeight="1">
      <c r="A316" s="288"/>
      <c r="B316" s="176" t="s">
        <v>1219</v>
      </c>
      <c r="C316" s="176" t="s">
        <v>1220</v>
      </c>
      <c r="D316" s="176" t="s">
        <v>818</v>
      </c>
      <c r="E316" s="170" t="s">
        <v>701</v>
      </c>
      <c r="F316" s="177" t="s">
        <v>932</v>
      </c>
      <c r="G316" s="176" t="s">
        <v>726</v>
      </c>
      <c r="H316" s="178" t="s">
        <v>130</v>
      </c>
    </row>
    <row r="317" spans="1:8" ht="15.75" customHeight="1">
      <c r="A317" s="288"/>
      <c r="B317" s="173" t="s">
        <v>1221</v>
      </c>
      <c r="C317" s="173" t="s">
        <v>1222</v>
      </c>
      <c r="D317" s="173" t="s">
        <v>818</v>
      </c>
      <c r="E317" s="170" t="s">
        <v>701</v>
      </c>
      <c r="F317" s="174" t="s">
        <v>932</v>
      </c>
      <c r="G317" s="173" t="s">
        <v>703</v>
      </c>
      <c r="H317" s="175" t="s">
        <v>130</v>
      </c>
    </row>
    <row r="318" spans="1:8" ht="15.75" customHeight="1">
      <c r="A318" s="288"/>
      <c r="B318" s="176" t="s">
        <v>1223</v>
      </c>
      <c r="C318" s="176" t="s">
        <v>1224</v>
      </c>
      <c r="D318" s="176" t="s">
        <v>818</v>
      </c>
      <c r="E318" s="170" t="s">
        <v>701</v>
      </c>
      <c r="F318" s="177" t="s">
        <v>932</v>
      </c>
      <c r="G318" s="176" t="s">
        <v>726</v>
      </c>
      <c r="H318" s="178" t="s">
        <v>130</v>
      </c>
    </row>
    <row r="319" spans="1:8" ht="15.75" customHeight="1">
      <c r="A319" s="288"/>
      <c r="B319" s="173" t="s">
        <v>1225</v>
      </c>
      <c r="C319" s="173" t="s">
        <v>1226</v>
      </c>
      <c r="D319" s="173" t="s">
        <v>818</v>
      </c>
      <c r="E319" s="170" t="s">
        <v>701</v>
      </c>
      <c r="F319" s="174" t="s">
        <v>932</v>
      </c>
      <c r="G319" s="173" t="s">
        <v>703</v>
      </c>
      <c r="H319" s="175" t="s">
        <v>130</v>
      </c>
    </row>
    <row r="320" spans="1:8" ht="15.75" customHeight="1">
      <c r="A320" s="288"/>
      <c r="B320" s="176" t="s">
        <v>1227</v>
      </c>
      <c r="C320" s="176" t="s">
        <v>1228</v>
      </c>
      <c r="D320" s="176" t="s">
        <v>818</v>
      </c>
      <c r="E320" s="170" t="s">
        <v>701</v>
      </c>
      <c r="F320" s="177" t="s">
        <v>932</v>
      </c>
      <c r="G320" s="176" t="s">
        <v>709</v>
      </c>
      <c r="H320" s="178" t="s">
        <v>130</v>
      </c>
    </row>
    <row r="321" spans="1:8" ht="15.75" customHeight="1">
      <c r="A321" s="288"/>
      <c r="B321" s="173" t="s">
        <v>1229</v>
      </c>
      <c r="C321" s="173" t="s">
        <v>1230</v>
      </c>
      <c r="D321" s="173" t="s">
        <v>818</v>
      </c>
      <c r="E321" s="170" t="s">
        <v>701</v>
      </c>
      <c r="F321" s="174" t="s">
        <v>932</v>
      </c>
      <c r="G321" s="173" t="s">
        <v>726</v>
      </c>
      <c r="H321" s="175" t="s">
        <v>130</v>
      </c>
    </row>
    <row r="322" spans="1:8" ht="15.75" customHeight="1">
      <c r="A322" s="288"/>
      <c r="B322" s="176" t="s">
        <v>1231</v>
      </c>
      <c r="C322" s="176" t="s">
        <v>1232</v>
      </c>
      <c r="D322" s="176" t="s">
        <v>818</v>
      </c>
      <c r="E322" s="170" t="s">
        <v>701</v>
      </c>
      <c r="F322" s="177" t="s">
        <v>932</v>
      </c>
      <c r="G322" s="176" t="s">
        <v>726</v>
      </c>
      <c r="H322" s="178" t="s">
        <v>130</v>
      </c>
    </row>
    <row r="323" spans="1:8" ht="15.75" customHeight="1">
      <c r="A323" s="288"/>
      <c r="B323" s="173" t="s">
        <v>1233</v>
      </c>
      <c r="C323" s="173" t="s">
        <v>1234</v>
      </c>
      <c r="D323" s="173" t="s">
        <v>818</v>
      </c>
      <c r="E323" s="170" t="s">
        <v>701</v>
      </c>
      <c r="F323" s="174" t="s">
        <v>932</v>
      </c>
      <c r="G323" s="173" t="s">
        <v>709</v>
      </c>
      <c r="H323" s="175" t="s">
        <v>130</v>
      </c>
    </row>
    <row r="324" spans="1:8" ht="15.75" customHeight="1">
      <c r="A324" s="288"/>
      <c r="B324" s="176" t="s">
        <v>1235</v>
      </c>
      <c r="C324" s="176" t="s">
        <v>1236</v>
      </c>
      <c r="D324" s="176" t="s">
        <v>818</v>
      </c>
      <c r="E324" s="170" t="s">
        <v>701</v>
      </c>
      <c r="F324" s="177" t="s">
        <v>932</v>
      </c>
      <c r="G324" s="176" t="s">
        <v>703</v>
      </c>
      <c r="H324" s="178" t="s">
        <v>130</v>
      </c>
    </row>
    <row r="325" spans="1:8" ht="15.75" customHeight="1">
      <c r="A325" s="288"/>
      <c r="B325" s="173" t="s">
        <v>1237</v>
      </c>
      <c r="C325" s="173" t="s">
        <v>1238</v>
      </c>
      <c r="D325" s="173" t="s">
        <v>818</v>
      </c>
      <c r="E325" s="170" t="s">
        <v>701</v>
      </c>
      <c r="F325" s="174" t="s">
        <v>932</v>
      </c>
      <c r="G325" s="173" t="s">
        <v>726</v>
      </c>
      <c r="H325" s="175" t="s">
        <v>130</v>
      </c>
    </row>
    <row r="326" spans="1:8" ht="15.75" customHeight="1">
      <c r="A326" s="288"/>
      <c r="B326" s="176" t="s">
        <v>1239</v>
      </c>
      <c r="C326" s="176" t="s">
        <v>1240</v>
      </c>
      <c r="D326" s="176" t="s">
        <v>818</v>
      </c>
      <c r="E326" s="170" t="s">
        <v>701</v>
      </c>
      <c r="F326" s="177" t="s">
        <v>932</v>
      </c>
      <c r="G326" s="176" t="s">
        <v>703</v>
      </c>
      <c r="H326" s="178" t="s">
        <v>130</v>
      </c>
    </row>
    <row r="327" spans="1:8" ht="15.75" customHeight="1">
      <c r="A327" s="288"/>
      <c r="B327" s="173" t="s">
        <v>1241</v>
      </c>
      <c r="C327" s="173" t="s">
        <v>1242</v>
      </c>
      <c r="D327" s="173" t="s">
        <v>818</v>
      </c>
      <c r="E327" s="170" t="s">
        <v>701</v>
      </c>
      <c r="F327" s="174" t="s">
        <v>932</v>
      </c>
      <c r="G327" s="173" t="s">
        <v>703</v>
      </c>
      <c r="H327" s="175" t="s">
        <v>130</v>
      </c>
    </row>
    <row r="328" spans="1:8" ht="15.75" customHeight="1">
      <c r="A328" s="288"/>
      <c r="B328" s="176" t="s">
        <v>1243</v>
      </c>
      <c r="C328" s="176" t="s">
        <v>1244</v>
      </c>
      <c r="D328" s="176" t="s">
        <v>818</v>
      </c>
      <c r="E328" s="170" t="s">
        <v>701</v>
      </c>
      <c r="F328" s="177" t="s">
        <v>932</v>
      </c>
      <c r="G328" s="176" t="s">
        <v>726</v>
      </c>
      <c r="H328" s="178" t="s">
        <v>130</v>
      </c>
    </row>
    <row r="329" spans="1:8" ht="15.75" customHeight="1">
      <c r="A329" s="288"/>
      <c r="B329" s="173" t="s">
        <v>1245</v>
      </c>
      <c r="C329" s="173" t="s">
        <v>1246</v>
      </c>
      <c r="D329" s="173" t="s">
        <v>818</v>
      </c>
      <c r="E329" s="170" t="s">
        <v>701</v>
      </c>
      <c r="F329" s="174" t="s">
        <v>932</v>
      </c>
      <c r="G329" s="173" t="s">
        <v>706</v>
      </c>
      <c r="H329" s="175" t="s">
        <v>1247</v>
      </c>
    </row>
    <row r="330" spans="1:8" ht="15.75" customHeight="1">
      <c r="A330" s="288"/>
      <c r="B330" s="176" t="s">
        <v>1248</v>
      </c>
      <c r="C330" s="176" t="s">
        <v>1249</v>
      </c>
      <c r="D330" s="176" t="s">
        <v>818</v>
      </c>
      <c r="E330" s="170" t="s">
        <v>701</v>
      </c>
      <c r="F330" s="177" t="s">
        <v>932</v>
      </c>
      <c r="G330" s="176" t="s">
        <v>703</v>
      </c>
      <c r="H330" s="178" t="s">
        <v>130</v>
      </c>
    </row>
    <row r="331" spans="1:8" ht="15.75" customHeight="1">
      <c r="A331" s="288"/>
      <c r="B331" s="173" t="s">
        <v>1250</v>
      </c>
      <c r="C331" s="173" t="s">
        <v>1251</v>
      </c>
      <c r="D331" s="173" t="s">
        <v>818</v>
      </c>
      <c r="E331" s="170" t="s">
        <v>701</v>
      </c>
      <c r="F331" s="174" t="s">
        <v>932</v>
      </c>
      <c r="G331" s="173" t="s">
        <v>706</v>
      </c>
      <c r="H331" s="175" t="s">
        <v>1252</v>
      </c>
    </row>
    <row r="332" spans="1:8" ht="15.75" customHeight="1">
      <c r="A332" s="288"/>
      <c r="B332" s="176" t="s">
        <v>1253</v>
      </c>
      <c r="C332" s="176" t="s">
        <v>1254</v>
      </c>
      <c r="D332" s="176" t="s">
        <v>818</v>
      </c>
      <c r="E332" s="170" t="s">
        <v>701</v>
      </c>
      <c r="F332" s="177" t="s">
        <v>932</v>
      </c>
      <c r="G332" s="176" t="s">
        <v>740</v>
      </c>
      <c r="H332" s="178" t="s">
        <v>130</v>
      </c>
    </row>
    <row r="333" spans="1:8" ht="15.75" customHeight="1">
      <c r="A333" s="288"/>
      <c r="B333" s="173" t="s">
        <v>1255</v>
      </c>
      <c r="C333" s="173" t="s">
        <v>1256</v>
      </c>
      <c r="D333" s="173" t="s">
        <v>818</v>
      </c>
      <c r="E333" s="170" t="s">
        <v>701</v>
      </c>
      <c r="F333" s="174" t="s">
        <v>932</v>
      </c>
      <c r="G333" s="173" t="s">
        <v>706</v>
      </c>
      <c r="H333" s="175" t="s">
        <v>130</v>
      </c>
    </row>
    <row r="334" spans="1:8" ht="15.75" customHeight="1">
      <c r="A334" s="288"/>
      <c r="B334" s="176" t="s">
        <v>1257</v>
      </c>
      <c r="C334" s="176" t="s">
        <v>1258</v>
      </c>
      <c r="D334" s="176" t="s">
        <v>818</v>
      </c>
      <c r="E334" s="170" t="s">
        <v>701</v>
      </c>
      <c r="F334" s="177" t="s">
        <v>932</v>
      </c>
      <c r="G334" s="176" t="s">
        <v>709</v>
      </c>
      <c r="H334" s="178" t="s">
        <v>130</v>
      </c>
    </row>
    <row r="335" spans="1:8" ht="15.75" customHeight="1">
      <c r="A335" s="288"/>
      <c r="B335" s="173" t="s">
        <v>1259</v>
      </c>
      <c r="C335" s="173" t="s">
        <v>1260</v>
      </c>
      <c r="D335" s="173" t="s">
        <v>818</v>
      </c>
      <c r="E335" s="170" t="s">
        <v>701</v>
      </c>
      <c r="F335" s="174" t="s">
        <v>932</v>
      </c>
      <c r="G335" s="173" t="s">
        <v>726</v>
      </c>
      <c r="H335" s="175" t="s">
        <v>130</v>
      </c>
    </row>
    <row r="336" spans="1:8" ht="15.75" customHeight="1">
      <c r="A336" s="288"/>
      <c r="B336" s="176" t="s">
        <v>1261</v>
      </c>
      <c r="C336" s="176" t="s">
        <v>1262</v>
      </c>
      <c r="D336" s="176" t="s">
        <v>818</v>
      </c>
      <c r="E336" s="170" t="s">
        <v>701</v>
      </c>
      <c r="F336" s="177" t="s">
        <v>932</v>
      </c>
      <c r="G336" s="176" t="s">
        <v>726</v>
      </c>
      <c r="H336" s="178" t="s">
        <v>130</v>
      </c>
    </row>
    <row r="337" spans="1:8" ht="15.75" customHeight="1">
      <c r="A337" s="288"/>
      <c r="B337" s="173" t="s">
        <v>1263</v>
      </c>
      <c r="C337" s="173" t="s">
        <v>1264</v>
      </c>
      <c r="D337" s="173" t="s">
        <v>818</v>
      </c>
      <c r="E337" s="170" t="s">
        <v>701</v>
      </c>
      <c r="F337" s="174" t="s">
        <v>932</v>
      </c>
      <c r="G337" s="173" t="s">
        <v>709</v>
      </c>
      <c r="H337" s="175" t="s">
        <v>130</v>
      </c>
    </row>
    <row r="338" spans="1:8" ht="15.75" customHeight="1">
      <c r="A338" s="288"/>
      <c r="B338" s="176" t="s">
        <v>1265</v>
      </c>
      <c r="C338" s="176" t="s">
        <v>1266</v>
      </c>
      <c r="D338" s="176" t="s">
        <v>818</v>
      </c>
      <c r="E338" s="170" t="s">
        <v>701</v>
      </c>
      <c r="F338" s="177" t="s">
        <v>932</v>
      </c>
      <c r="G338" s="176" t="s">
        <v>703</v>
      </c>
      <c r="H338" s="178" t="s">
        <v>130</v>
      </c>
    </row>
    <row r="339" spans="1:8" ht="15.75" customHeight="1">
      <c r="A339" s="288"/>
      <c r="B339" s="173" t="s">
        <v>1267</v>
      </c>
      <c r="C339" s="173" t="s">
        <v>1268</v>
      </c>
      <c r="D339" s="173" t="s">
        <v>818</v>
      </c>
      <c r="E339" s="170" t="s">
        <v>701</v>
      </c>
      <c r="F339" s="174" t="s">
        <v>932</v>
      </c>
      <c r="G339" s="173" t="s">
        <v>703</v>
      </c>
      <c r="H339" s="175" t="s">
        <v>130</v>
      </c>
    </row>
    <row r="340" spans="1:8" ht="15.75" customHeight="1">
      <c r="A340" s="288"/>
      <c r="B340" s="176" t="s">
        <v>1269</v>
      </c>
      <c r="C340" s="176" t="s">
        <v>1270</v>
      </c>
      <c r="D340" s="176" t="s">
        <v>818</v>
      </c>
      <c r="E340" s="170" t="s">
        <v>701</v>
      </c>
      <c r="F340" s="177" t="s">
        <v>932</v>
      </c>
      <c r="G340" s="176" t="s">
        <v>726</v>
      </c>
      <c r="H340" s="178" t="s">
        <v>130</v>
      </c>
    </row>
    <row r="341" spans="1:8" ht="15.75" customHeight="1">
      <c r="A341" s="288"/>
      <c r="B341" s="173" t="s">
        <v>1271</v>
      </c>
      <c r="C341" s="173" t="s">
        <v>1272</v>
      </c>
      <c r="D341" s="173" t="s">
        <v>818</v>
      </c>
      <c r="E341" s="170" t="s">
        <v>701</v>
      </c>
      <c r="F341" s="174" t="s">
        <v>932</v>
      </c>
      <c r="G341" s="173" t="s">
        <v>723</v>
      </c>
      <c r="H341" s="175" t="s">
        <v>130</v>
      </c>
    </row>
    <row r="342" spans="1:8" ht="15.75" customHeight="1">
      <c r="A342" s="288"/>
      <c r="B342" s="176" t="s">
        <v>1273</v>
      </c>
      <c r="C342" s="176" t="s">
        <v>1274</v>
      </c>
      <c r="D342" s="176" t="s">
        <v>818</v>
      </c>
      <c r="E342" s="170" t="s">
        <v>701</v>
      </c>
      <c r="F342" s="177" t="s">
        <v>932</v>
      </c>
      <c r="G342" s="176" t="s">
        <v>703</v>
      </c>
      <c r="H342" s="178" t="s">
        <v>130</v>
      </c>
    </row>
    <row r="343" spans="1:8" ht="15.75" customHeight="1">
      <c r="A343" s="289"/>
      <c r="B343" s="173" t="s">
        <v>1275</v>
      </c>
      <c r="C343" s="173" t="s">
        <v>1276</v>
      </c>
      <c r="D343" s="173" t="s">
        <v>818</v>
      </c>
      <c r="E343" s="170" t="s">
        <v>701</v>
      </c>
      <c r="F343" s="174" t="s">
        <v>932</v>
      </c>
      <c r="G343" s="173" t="s">
        <v>703</v>
      </c>
      <c r="H343" s="175" t="s">
        <v>130</v>
      </c>
    </row>
    <row r="344" spans="1:8" ht="15.75" customHeight="1">
      <c r="A344" s="287" t="s">
        <v>1277</v>
      </c>
      <c r="B344" s="176" t="s">
        <v>1278</v>
      </c>
      <c r="C344" s="176" t="s">
        <v>1279</v>
      </c>
      <c r="D344" s="176" t="s">
        <v>818</v>
      </c>
      <c r="E344" s="170" t="s">
        <v>701</v>
      </c>
      <c r="F344" s="177" t="s">
        <v>932</v>
      </c>
      <c r="G344" s="176" t="s">
        <v>706</v>
      </c>
      <c r="H344" s="178" t="s">
        <v>130</v>
      </c>
    </row>
    <row r="345" spans="1:8" ht="15.75" customHeight="1">
      <c r="A345" s="288"/>
      <c r="B345" s="173" t="s">
        <v>1280</v>
      </c>
      <c r="C345" s="173" t="s">
        <v>1281</v>
      </c>
      <c r="D345" s="173" t="s">
        <v>818</v>
      </c>
      <c r="E345" s="170" t="s">
        <v>701</v>
      </c>
      <c r="F345" s="174" t="s">
        <v>932</v>
      </c>
      <c r="G345" s="173" t="s">
        <v>726</v>
      </c>
      <c r="H345" s="175" t="s">
        <v>130</v>
      </c>
    </row>
    <row r="346" spans="1:8" ht="15.75" customHeight="1">
      <c r="A346" s="288"/>
      <c r="B346" s="176" t="s">
        <v>1282</v>
      </c>
      <c r="C346" s="176" t="s">
        <v>1283</v>
      </c>
      <c r="D346" s="176" t="s">
        <v>818</v>
      </c>
      <c r="E346" s="170" t="s">
        <v>701</v>
      </c>
      <c r="F346" s="177" t="s">
        <v>932</v>
      </c>
      <c r="G346" s="176" t="s">
        <v>709</v>
      </c>
      <c r="H346" s="178" t="s">
        <v>130</v>
      </c>
    </row>
    <row r="347" spans="1:8" ht="15.75" customHeight="1">
      <c r="A347" s="288"/>
      <c r="B347" s="173" t="s">
        <v>1284</v>
      </c>
      <c r="C347" s="173" t="s">
        <v>1285</v>
      </c>
      <c r="D347" s="173" t="s">
        <v>818</v>
      </c>
      <c r="E347" s="170" t="s">
        <v>701</v>
      </c>
      <c r="F347" s="174" t="s">
        <v>932</v>
      </c>
      <c r="G347" s="173" t="s">
        <v>709</v>
      </c>
      <c r="H347" s="175" t="s">
        <v>130</v>
      </c>
    </row>
    <row r="348" spans="1:8" ht="15.75" customHeight="1">
      <c r="A348" s="288"/>
      <c r="B348" s="176" t="s">
        <v>1286</v>
      </c>
      <c r="C348" s="176" t="s">
        <v>1287</v>
      </c>
      <c r="D348" s="176" t="s">
        <v>818</v>
      </c>
      <c r="E348" s="170" t="s">
        <v>701</v>
      </c>
      <c r="F348" s="177" t="s">
        <v>932</v>
      </c>
      <c r="G348" s="176" t="s">
        <v>703</v>
      </c>
      <c r="H348" s="178" t="s">
        <v>130</v>
      </c>
    </row>
    <row r="349" spans="1:8" ht="15.75" customHeight="1">
      <c r="A349" s="288"/>
      <c r="B349" s="173" t="s">
        <v>1288</v>
      </c>
      <c r="C349" s="173" t="s">
        <v>1289</v>
      </c>
      <c r="D349" s="173" t="s">
        <v>818</v>
      </c>
      <c r="E349" s="170" t="s">
        <v>701</v>
      </c>
      <c r="F349" s="174" t="s">
        <v>932</v>
      </c>
      <c r="G349" s="173" t="s">
        <v>726</v>
      </c>
      <c r="H349" s="175" t="s">
        <v>130</v>
      </c>
    </row>
    <row r="350" spans="1:8" ht="15.75" customHeight="1">
      <c r="A350" s="288"/>
      <c r="B350" s="176" t="s">
        <v>1290</v>
      </c>
      <c r="C350" s="176" t="s">
        <v>1291</v>
      </c>
      <c r="D350" s="176" t="s">
        <v>818</v>
      </c>
      <c r="E350" s="170" t="s">
        <v>701</v>
      </c>
      <c r="F350" s="177" t="s">
        <v>932</v>
      </c>
      <c r="G350" s="176" t="s">
        <v>703</v>
      </c>
      <c r="H350" s="178" t="s">
        <v>130</v>
      </c>
    </row>
    <row r="351" spans="1:8" ht="15.75" customHeight="1">
      <c r="A351" s="288"/>
      <c r="B351" s="173" t="s">
        <v>1292</v>
      </c>
      <c r="C351" s="173" t="s">
        <v>1293</v>
      </c>
      <c r="D351" s="173" t="s">
        <v>818</v>
      </c>
      <c r="E351" s="170" t="s">
        <v>701</v>
      </c>
      <c r="F351" s="174" t="s">
        <v>932</v>
      </c>
      <c r="G351" s="173" t="s">
        <v>703</v>
      </c>
      <c r="H351" s="175" t="s">
        <v>130</v>
      </c>
    </row>
    <row r="352" spans="1:8" ht="15.75" customHeight="1">
      <c r="A352" s="288"/>
      <c r="B352" s="176" t="s">
        <v>1294</v>
      </c>
      <c r="C352" s="176" t="s">
        <v>1295</v>
      </c>
      <c r="D352" s="176" t="s">
        <v>818</v>
      </c>
      <c r="E352" s="170" t="s">
        <v>701</v>
      </c>
      <c r="F352" s="177" t="s">
        <v>932</v>
      </c>
      <c r="G352" s="176" t="s">
        <v>703</v>
      </c>
      <c r="H352" s="178" t="s">
        <v>130</v>
      </c>
    </row>
    <row r="353" spans="1:8" ht="15.75" customHeight="1">
      <c r="A353" s="288"/>
      <c r="B353" s="173" t="s">
        <v>1296</v>
      </c>
      <c r="C353" s="173" t="s">
        <v>1297</v>
      </c>
      <c r="D353" s="173" t="s">
        <v>818</v>
      </c>
      <c r="E353" s="170" t="s">
        <v>701</v>
      </c>
      <c r="F353" s="174" t="s">
        <v>932</v>
      </c>
      <c r="G353" s="173" t="s">
        <v>703</v>
      </c>
      <c r="H353" s="175" t="s">
        <v>130</v>
      </c>
    </row>
    <row r="354" spans="1:8" ht="15.75" customHeight="1">
      <c r="A354" s="288"/>
      <c r="B354" s="176" t="s">
        <v>1298</v>
      </c>
      <c r="C354" s="176" t="s">
        <v>1299</v>
      </c>
      <c r="D354" s="176" t="s">
        <v>818</v>
      </c>
      <c r="E354" s="170" t="s">
        <v>701</v>
      </c>
      <c r="F354" s="177" t="s">
        <v>932</v>
      </c>
      <c r="G354" s="176" t="s">
        <v>709</v>
      </c>
      <c r="H354" s="178" t="s">
        <v>130</v>
      </c>
    </row>
    <row r="355" spans="1:8" ht="15.75" customHeight="1">
      <c r="A355" s="288"/>
      <c r="B355" s="173" t="s">
        <v>1300</v>
      </c>
      <c r="C355" s="173" t="s">
        <v>1301</v>
      </c>
      <c r="D355" s="173" t="s">
        <v>818</v>
      </c>
      <c r="E355" s="170" t="s">
        <v>701</v>
      </c>
      <c r="F355" s="174" t="s">
        <v>932</v>
      </c>
      <c r="G355" s="173" t="s">
        <v>709</v>
      </c>
      <c r="H355" s="175" t="s">
        <v>130</v>
      </c>
    </row>
    <row r="356" spans="1:8" ht="15.75" customHeight="1">
      <c r="A356" s="288"/>
      <c r="B356" s="176" t="s">
        <v>1302</v>
      </c>
      <c r="C356" s="176" t="s">
        <v>1303</v>
      </c>
      <c r="D356" s="176" t="s">
        <v>818</v>
      </c>
      <c r="E356" s="170" t="s">
        <v>701</v>
      </c>
      <c r="F356" s="177" t="s">
        <v>932</v>
      </c>
      <c r="G356" s="176" t="s">
        <v>709</v>
      </c>
      <c r="H356" s="178" t="s">
        <v>130</v>
      </c>
    </row>
    <row r="357" spans="1:8" ht="15.75" customHeight="1">
      <c r="A357" s="288"/>
      <c r="B357" s="173" t="s">
        <v>1304</v>
      </c>
      <c r="C357" s="173" t="s">
        <v>1305</v>
      </c>
      <c r="D357" s="173" t="s">
        <v>818</v>
      </c>
      <c r="E357" s="170" t="s">
        <v>701</v>
      </c>
      <c r="F357" s="174" t="s">
        <v>932</v>
      </c>
      <c r="G357" s="173" t="s">
        <v>723</v>
      </c>
      <c r="H357" s="175" t="s">
        <v>130</v>
      </c>
    </row>
    <row r="358" spans="1:8" ht="15.75" customHeight="1">
      <c r="A358" s="288"/>
      <c r="B358" s="176" t="s">
        <v>1306</v>
      </c>
      <c r="C358" s="176" t="s">
        <v>1307</v>
      </c>
      <c r="D358" s="176" t="s">
        <v>818</v>
      </c>
      <c r="E358" s="170" t="s">
        <v>701</v>
      </c>
      <c r="F358" s="177" t="s">
        <v>932</v>
      </c>
      <c r="G358" s="176" t="s">
        <v>706</v>
      </c>
      <c r="H358" s="178" t="s">
        <v>130</v>
      </c>
    </row>
    <row r="359" spans="1:8" ht="15.75" customHeight="1">
      <c r="A359" s="288"/>
      <c r="B359" s="173" t="s">
        <v>1308</v>
      </c>
      <c r="C359" s="173" t="s">
        <v>1309</v>
      </c>
      <c r="D359" s="173" t="s">
        <v>818</v>
      </c>
      <c r="E359" s="170" t="s">
        <v>701</v>
      </c>
      <c r="F359" s="174" t="s">
        <v>932</v>
      </c>
      <c r="G359" s="173" t="s">
        <v>709</v>
      </c>
      <c r="H359" s="175" t="s">
        <v>130</v>
      </c>
    </row>
    <row r="360" spans="1:8" ht="15.75" customHeight="1">
      <c r="A360" s="288"/>
      <c r="B360" s="176" t="s">
        <v>1310</v>
      </c>
      <c r="C360" s="176" t="s">
        <v>1311</v>
      </c>
      <c r="D360" s="176" t="s">
        <v>818</v>
      </c>
      <c r="E360" s="170" t="s">
        <v>701</v>
      </c>
      <c r="F360" s="177" t="s">
        <v>932</v>
      </c>
      <c r="G360" s="176" t="s">
        <v>709</v>
      </c>
      <c r="H360" s="178" t="s">
        <v>130</v>
      </c>
    </row>
    <row r="361" spans="1:8" ht="15.75" customHeight="1">
      <c r="A361" s="288"/>
      <c r="B361" s="173" t="s">
        <v>1312</v>
      </c>
      <c r="C361" s="173" t="s">
        <v>1313</v>
      </c>
      <c r="D361" s="173" t="s">
        <v>818</v>
      </c>
      <c r="E361" s="170" t="s">
        <v>701</v>
      </c>
      <c r="F361" s="174" t="s">
        <v>932</v>
      </c>
      <c r="G361" s="173" t="s">
        <v>706</v>
      </c>
      <c r="H361" s="175" t="s">
        <v>130</v>
      </c>
    </row>
    <row r="362" spans="1:8" ht="15.75" customHeight="1">
      <c r="A362" s="288"/>
      <c r="B362" s="176" t="s">
        <v>1314</v>
      </c>
      <c r="C362" s="176" t="s">
        <v>1315</v>
      </c>
      <c r="D362" s="176" t="s">
        <v>818</v>
      </c>
      <c r="E362" s="170" t="s">
        <v>701</v>
      </c>
      <c r="F362" s="177" t="s">
        <v>932</v>
      </c>
      <c r="G362" s="176" t="s">
        <v>726</v>
      </c>
      <c r="H362" s="178" t="s">
        <v>130</v>
      </c>
    </row>
    <row r="363" spans="1:8" ht="15.75" customHeight="1">
      <c r="A363" s="288"/>
      <c r="B363" s="173" t="s">
        <v>1316</v>
      </c>
      <c r="C363" s="173" t="s">
        <v>1317</v>
      </c>
      <c r="D363" s="173" t="s">
        <v>818</v>
      </c>
      <c r="E363" s="170" t="s">
        <v>701</v>
      </c>
      <c r="F363" s="174" t="s">
        <v>932</v>
      </c>
      <c r="G363" s="173" t="s">
        <v>703</v>
      </c>
      <c r="H363" s="175" t="s">
        <v>130</v>
      </c>
    </row>
    <row r="364" spans="1:8" ht="15.75" customHeight="1">
      <c r="A364" s="288"/>
      <c r="B364" s="176" t="s">
        <v>1318</v>
      </c>
      <c r="C364" s="176" t="s">
        <v>1319</v>
      </c>
      <c r="D364" s="176" t="s">
        <v>818</v>
      </c>
      <c r="E364" s="170" t="s">
        <v>701</v>
      </c>
      <c r="F364" s="177" t="s">
        <v>932</v>
      </c>
      <c r="G364" s="176" t="s">
        <v>709</v>
      </c>
      <c r="H364" s="178" t="s">
        <v>130</v>
      </c>
    </row>
    <row r="365" spans="1:8" ht="15.75" customHeight="1">
      <c r="A365" s="288"/>
      <c r="B365" s="173" t="s">
        <v>1320</v>
      </c>
      <c r="C365" s="173" t="s">
        <v>1321</v>
      </c>
      <c r="D365" s="173" t="s">
        <v>818</v>
      </c>
      <c r="E365" s="170" t="s">
        <v>701</v>
      </c>
      <c r="F365" s="174" t="s">
        <v>932</v>
      </c>
      <c r="G365" s="173" t="s">
        <v>703</v>
      </c>
      <c r="H365" s="175" t="s">
        <v>130</v>
      </c>
    </row>
    <row r="366" spans="1:8" ht="15.75" customHeight="1">
      <c r="A366" s="288"/>
      <c r="B366" s="176" t="s">
        <v>1322</v>
      </c>
      <c r="C366" s="176" t="s">
        <v>1323</v>
      </c>
      <c r="D366" s="176" t="s">
        <v>818</v>
      </c>
      <c r="E366" s="170" t="s">
        <v>701</v>
      </c>
      <c r="F366" s="177" t="s">
        <v>932</v>
      </c>
      <c r="G366" s="176" t="s">
        <v>726</v>
      </c>
      <c r="H366" s="178" t="s">
        <v>130</v>
      </c>
    </row>
    <row r="367" spans="1:8" ht="15.75" customHeight="1">
      <c r="A367" s="288"/>
      <c r="B367" s="173" t="s">
        <v>1324</v>
      </c>
      <c r="C367" s="173" t="s">
        <v>1325</v>
      </c>
      <c r="D367" s="173" t="s">
        <v>818</v>
      </c>
      <c r="E367" s="170" t="s">
        <v>701</v>
      </c>
      <c r="F367" s="174" t="s">
        <v>932</v>
      </c>
      <c r="G367" s="173" t="s">
        <v>709</v>
      </c>
      <c r="H367" s="175" t="s">
        <v>130</v>
      </c>
    </row>
    <row r="368" spans="1:8" ht="15.75" customHeight="1">
      <c r="A368" s="288"/>
      <c r="B368" s="176" t="s">
        <v>1326</v>
      </c>
      <c r="C368" s="176" t="s">
        <v>1327</v>
      </c>
      <c r="D368" s="176" t="s">
        <v>818</v>
      </c>
      <c r="E368" s="170" t="s">
        <v>701</v>
      </c>
      <c r="F368" s="177" t="s">
        <v>932</v>
      </c>
      <c r="G368" s="176" t="s">
        <v>745</v>
      </c>
      <c r="H368" s="178" t="s">
        <v>130</v>
      </c>
    </row>
    <row r="369" spans="1:8" ht="15.75" customHeight="1">
      <c r="A369" s="288"/>
      <c r="B369" s="173" t="s">
        <v>1328</v>
      </c>
      <c r="C369" s="173" t="s">
        <v>1329</v>
      </c>
      <c r="D369" s="173" t="s">
        <v>818</v>
      </c>
      <c r="E369" s="170" t="s">
        <v>701</v>
      </c>
      <c r="F369" s="174" t="s">
        <v>932</v>
      </c>
      <c r="G369" s="173" t="s">
        <v>723</v>
      </c>
      <c r="H369" s="175" t="s">
        <v>130</v>
      </c>
    </row>
    <row r="370" spans="1:8" ht="15.75" customHeight="1">
      <c r="A370" s="288"/>
      <c r="B370" s="176" t="s">
        <v>1330</v>
      </c>
      <c r="C370" s="176" t="s">
        <v>1331</v>
      </c>
      <c r="D370" s="176" t="s">
        <v>818</v>
      </c>
      <c r="E370" s="170" t="s">
        <v>701</v>
      </c>
      <c r="F370" s="177" t="s">
        <v>932</v>
      </c>
      <c r="G370" s="176" t="s">
        <v>703</v>
      </c>
      <c r="H370" s="178" t="s">
        <v>130</v>
      </c>
    </row>
    <row r="371" spans="1:8" ht="15.75" customHeight="1">
      <c r="A371" s="288"/>
      <c r="B371" s="173" t="s">
        <v>1332</v>
      </c>
      <c r="C371" s="173" t="s">
        <v>1333</v>
      </c>
      <c r="D371" s="173" t="s">
        <v>818</v>
      </c>
      <c r="E371" s="170" t="s">
        <v>701</v>
      </c>
      <c r="F371" s="174" t="s">
        <v>932</v>
      </c>
      <c r="G371" s="173" t="s">
        <v>703</v>
      </c>
      <c r="H371" s="175" t="s">
        <v>130</v>
      </c>
    </row>
    <row r="372" spans="1:8" ht="15.75" customHeight="1">
      <c r="A372" s="288"/>
      <c r="B372" s="176" t="s">
        <v>1334</v>
      </c>
      <c r="C372" s="176" t="s">
        <v>1335</v>
      </c>
      <c r="D372" s="176" t="s">
        <v>818</v>
      </c>
      <c r="E372" s="170" t="s">
        <v>701</v>
      </c>
      <c r="F372" s="177" t="s">
        <v>932</v>
      </c>
      <c r="G372" s="176" t="s">
        <v>706</v>
      </c>
      <c r="H372" s="178" t="s">
        <v>884</v>
      </c>
    </row>
    <row r="373" spans="1:8" ht="15.75" customHeight="1">
      <c r="A373" s="288"/>
      <c r="B373" s="173" t="s">
        <v>1336</v>
      </c>
      <c r="C373" s="173" t="s">
        <v>1337</v>
      </c>
      <c r="D373" s="173" t="s">
        <v>818</v>
      </c>
      <c r="E373" s="170" t="s">
        <v>701</v>
      </c>
      <c r="F373" s="174" t="s">
        <v>932</v>
      </c>
      <c r="G373" s="173" t="s">
        <v>703</v>
      </c>
      <c r="H373" s="175" t="s">
        <v>130</v>
      </c>
    </row>
    <row r="374" spans="1:8" ht="15.75" customHeight="1">
      <c r="A374" s="288"/>
      <c r="B374" s="176" t="s">
        <v>1338</v>
      </c>
      <c r="C374" s="176" t="s">
        <v>1339</v>
      </c>
      <c r="D374" s="176" t="s">
        <v>818</v>
      </c>
      <c r="E374" s="170" t="s">
        <v>701</v>
      </c>
      <c r="F374" s="177" t="s">
        <v>932</v>
      </c>
      <c r="G374" s="176" t="s">
        <v>723</v>
      </c>
      <c r="H374" s="178" t="s">
        <v>130</v>
      </c>
    </row>
    <row r="375" spans="1:8" ht="15.75" customHeight="1">
      <c r="A375" s="288"/>
      <c r="B375" s="173" t="s">
        <v>1340</v>
      </c>
      <c r="C375" s="173" t="s">
        <v>1341</v>
      </c>
      <c r="D375" s="173" t="s">
        <v>818</v>
      </c>
      <c r="E375" s="170" t="s">
        <v>701</v>
      </c>
      <c r="F375" s="174" t="s">
        <v>932</v>
      </c>
      <c r="G375" s="173" t="s">
        <v>723</v>
      </c>
      <c r="H375" s="175" t="s">
        <v>130</v>
      </c>
    </row>
    <row r="376" spans="1:8" ht="15.75" customHeight="1">
      <c r="A376" s="288"/>
      <c r="B376" s="176" t="s">
        <v>1342</v>
      </c>
      <c r="C376" s="176" t="s">
        <v>1343</v>
      </c>
      <c r="D376" s="176" t="s">
        <v>818</v>
      </c>
      <c r="E376" s="170" t="s">
        <v>701</v>
      </c>
      <c r="F376" s="177" t="s">
        <v>932</v>
      </c>
      <c r="G376" s="176" t="s">
        <v>1202</v>
      </c>
      <c r="H376" s="178" t="s">
        <v>130</v>
      </c>
    </row>
    <row r="377" spans="1:8" ht="15.75" customHeight="1">
      <c r="A377" s="288"/>
      <c r="B377" s="173" t="s">
        <v>1344</v>
      </c>
      <c r="C377" s="173" t="s">
        <v>1345</v>
      </c>
      <c r="D377" s="173" t="s">
        <v>818</v>
      </c>
      <c r="E377" s="170" t="s">
        <v>701</v>
      </c>
      <c r="F377" s="174" t="s">
        <v>932</v>
      </c>
      <c r="G377" s="173" t="s">
        <v>706</v>
      </c>
      <c r="H377" s="175" t="s">
        <v>130</v>
      </c>
    </row>
    <row r="378" spans="1:8" ht="15.75" customHeight="1">
      <c r="A378" s="288"/>
      <c r="B378" s="176" t="s">
        <v>1346</v>
      </c>
      <c r="C378" s="176" t="s">
        <v>1347</v>
      </c>
      <c r="D378" s="176" t="s">
        <v>818</v>
      </c>
      <c r="E378" s="170" t="s">
        <v>701</v>
      </c>
      <c r="F378" s="177" t="s">
        <v>932</v>
      </c>
      <c r="G378" s="176" t="s">
        <v>709</v>
      </c>
      <c r="H378" s="178" t="s">
        <v>130</v>
      </c>
    </row>
    <row r="379" spans="1:8" ht="15.75" customHeight="1">
      <c r="A379" s="288"/>
      <c r="B379" s="173" t="s">
        <v>1348</v>
      </c>
      <c r="C379" s="173" t="s">
        <v>1349</v>
      </c>
      <c r="D379" s="173" t="s">
        <v>818</v>
      </c>
      <c r="E379" s="170" t="s">
        <v>701</v>
      </c>
      <c r="F379" s="174" t="s">
        <v>932</v>
      </c>
      <c r="G379" s="173" t="s">
        <v>703</v>
      </c>
      <c r="H379" s="175" t="s">
        <v>130</v>
      </c>
    </row>
    <row r="380" spans="1:8" ht="15.75" customHeight="1">
      <c r="A380" s="288"/>
      <c r="B380" s="176" t="s">
        <v>1350</v>
      </c>
      <c r="C380" s="176" t="s">
        <v>1351</v>
      </c>
      <c r="D380" s="176" t="s">
        <v>818</v>
      </c>
      <c r="E380" s="170" t="s">
        <v>701</v>
      </c>
      <c r="F380" s="177" t="s">
        <v>932</v>
      </c>
      <c r="G380" s="176" t="s">
        <v>726</v>
      </c>
      <c r="H380" s="178" t="s">
        <v>130</v>
      </c>
    </row>
    <row r="381" spans="1:8" ht="15.75" customHeight="1">
      <c r="A381" s="288"/>
      <c r="B381" s="173" t="s">
        <v>1352</v>
      </c>
      <c r="C381" s="173" t="s">
        <v>1353</v>
      </c>
      <c r="D381" s="173" t="s">
        <v>818</v>
      </c>
      <c r="E381" s="170" t="s">
        <v>701</v>
      </c>
      <c r="F381" s="174" t="s">
        <v>932</v>
      </c>
      <c r="G381" s="173" t="s">
        <v>1354</v>
      </c>
      <c r="H381" s="175" t="s">
        <v>130</v>
      </c>
    </row>
    <row r="382" spans="1:8" ht="15.75" customHeight="1">
      <c r="A382" s="288"/>
      <c r="B382" s="176" t="s">
        <v>1355</v>
      </c>
      <c r="C382" s="176" t="s">
        <v>1356</v>
      </c>
      <c r="D382" s="176" t="s">
        <v>818</v>
      </c>
      <c r="E382" s="170" t="s">
        <v>701</v>
      </c>
      <c r="F382" s="177" t="s">
        <v>932</v>
      </c>
      <c r="G382" s="176" t="s">
        <v>703</v>
      </c>
      <c r="H382" s="178" t="s">
        <v>130</v>
      </c>
    </row>
    <row r="383" spans="1:8" ht="15.75" customHeight="1">
      <c r="A383" s="288"/>
      <c r="B383" s="173" t="s">
        <v>1357</v>
      </c>
      <c r="C383" s="173" t="s">
        <v>1358</v>
      </c>
      <c r="D383" s="173" t="s">
        <v>818</v>
      </c>
      <c r="E383" s="170" t="s">
        <v>701</v>
      </c>
      <c r="F383" s="174" t="s">
        <v>932</v>
      </c>
      <c r="G383" s="173" t="s">
        <v>709</v>
      </c>
      <c r="H383" s="175" t="s">
        <v>130</v>
      </c>
    </row>
    <row r="384" spans="1:8" ht="15.75" customHeight="1">
      <c r="A384" s="288"/>
      <c r="B384" s="176" t="s">
        <v>1359</v>
      </c>
      <c r="C384" s="176" t="s">
        <v>1360</v>
      </c>
      <c r="D384" s="176" t="s">
        <v>818</v>
      </c>
      <c r="E384" s="170" t="s">
        <v>701</v>
      </c>
      <c r="F384" s="177" t="s">
        <v>932</v>
      </c>
      <c r="G384" s="176" t="s">
        <v>706</v>
      </c>
      <c r="H384" s="178" t="s">
        <v>130</v>
      </c>
    </row>
    <row r="385" spans="1:8" ht="15.75" customHeight="1">
      <c r="A385" s="288"/>
      <c r="B385" s="173" t="s">
        <v>1361</v>
      </c>
      <c r="C385" s="173" t="s">
        <v>1362</v>
      </c>
      <c r="D385" s="173" t="s">
        <v>818</v>
      </c>
      <c r="E385" s="170" t="s">
        <v>701</v>
      </c>
      <c r="F385" s="174" t="s">
        <v>932</v>
      </c>
      <c r="G385" s="173" t="s">
        <v>709</v>
      </c>
      <c r="H385" s="175" t="s">
        <v>130</v>
      </c>
    </row>
    <row r="386" spans="1:8" ht="15.75" customHeight="1">
      <c r="A386" s="288"/>
      <c r="B386" s="176" t="s">
        <v>1363</v>
      </c>
      <c r="C386" s="176" t="s">
        <v>1364</v>
      </c>
      <c r="D386" s="176" t="s">
        <v>818</v>
      </c>
      <c r="E386" s="170" t="s">
        <v>701</v>
      </c>
      <c r="F386" s="177" t="s">
        <v>932</v>
      </c>
      <c r="G386" s="176" t="s">
        <v>709</v>
      </c>
      <c r="H386" s="178" t="s">
        <v>130</v>
      </c>
    </row>
    <row r="387" spans="1:8" ht="15.75" customHeight="1">
      <c r="A387" s="288"/>
      <c r="B387" s="173" t="s">
        <v>1365</v>
      </c>
      <c r="C387" s="173" t="s">
        <v>1366</v>
      </c>
      <c r="D387" s="173" t="s">
        <v>818</v>
      </c>
      <c r="E387" s="170" t="s">
        <v>701</v>
      </c>
      <c r="F387" s="174" t="s">
        <v>932</v>
      </c>
      <c r="G387" s="173" t="s">
        <v>709</v>
      </c>
      <c r="H387" s="175" t="s">
        <v>130</v>
      </c>
    </row>
    <row r="388" spans="1:8" ht="15.75" customHeight="1">
      <c r="A388" s="288"/>
      <c r="B388" s="176" t="s">
        <v>1367</v>
      </c>
      <c r="C388" s="176" t="s">
        <v>1368</v>
      </c>
      <c r="D388" s="176" t="s">
        <v>818</v>
      </c>
      <c r="E388" s="170" t="s">
        <v>701</v>
      </c>
      <c r="F388" s="177" t="s">
        <v>932</v>
      </c>
      <c r="G388" s="176" t="s">
        <v>726</v>
      </c>
      <c r="H388" s="178" t="s">
        <v>130</v>
      </c>
    </row>
    <row r="389" spans="1:8" ht="15.75" customHeight="1">
      <c r="A389" s="288"/>
      <c r="B389" s="173" t="s">
        <v>1369</v>
      </c>
      <c r="C389" s="173" t="s">
        <v>1370</v>
      </c>
      <c r="D389" s="173" t="s">
        <v>818</v>
      </c>
      <c r="E389" s="170" t="s">
        <v>701</v>
      </c>
      <c r="F389" s="174" t="s">
        <v>932</v>
      </c>
      <c r="G389" s="173" t="s">
        <v>703</v>
      </c>
      <c r="H389" s="175" t="s">
        <v>130</v>
      </c>
    </row>
    <row r="390" spans="1:8" ht="15.75" customHeight="1">
      <c r="A390" s="288"/>
      <c r="B390" s="176" t="s">
        <v>1371</v>
      </c>
      <c r="C390" s="176" t="s">
        <v>1372</v>
      </c>
      <c r="D390" s="176" t="s">
        <v>818</v>
      </c>
      <c r="E390" s="170" t="s">
        <v>701</v>
      </c>
      <c r="F390" s="177" t="s">
        <v>932</v>
      </c>
      <c r="G390" s="176" t="s">
        <v>703</v>
      </c>
      <c r="H390" s="178" t="s">
        <v>130</v>
      </c>
    </row>
    <row r="391" spans="1:8" ht="15.75" customHeight="1">
      <c r="A391" s="288"/>
      <c r="B391" s="173" t="s">
        <v>1373</v>
      </c>
      <c r="C391" s="173" t="s">
        <v>1374</v>
      </c>
      <c r="D391" s="173" t="s">
        <v>818</v>
      </c>
      <c r="E391" s="170" t="s">
        <v>701</v>
      </c>
      <c r="F391" s="174" t="s">
        <v>932</v>
      </c>
      <c r="G391" s="173" t="s">
        <v>726</v>
      </c>
      <c r="H391" s="175" t="s">
        <v>130</v>
      </c>
    </row>
    <row r="392" spans="1:8" ht="15.75" customHeight="1">
      <c r="A392" s="288"/>
      <c r="B392" s="176" t="s">
        <v>1375</v>
      </c>
      <c r="C392" s="176" t="s">
        <v>1376</v>
      </c>
      <c r="D392" s="176" t="s">
        <v>818</v>
      </c>
      <c r="E392" s="170" t="s">
        <v>701</v>
      </c>
      <c r="F392" s="177" t="s">
        <v>932</v>
      </c>
      <c r="G392" s="176" t="s">
        <v>723</v>
      </c>
      <c r="H392" s="178" t="s">
        <v>130</v>
      </c>
    </row>
    <row r="393" spans="1:8" ht="15.75" customHeight="1">
      <c r="A393" s="288"/>
      <c r="B393" s="173" t="s">
        <v>1377</v>
      </c>
      <c r="C393" s="173" t="s">
        <v>1378</v>
      </c>
      <c r="D393" s="173" t="s">
        <v>818</v>
      </c>
      <c r="E393" s="170" t="s">
        <v>701</v>
      </c>
      <c r="F393" s="174" t="s">
        <v>932</v>
      </c>
      <c r="G393" s="173" t="s">
        <v>703</v>
      </c>
      <c r="H393" s="175" t="s">
        <v>130</v>
      </c>
    </row>
    <row r="394" spans="1:8" ht="15.75" customHeight="1">
      <c r="A394" s="288"/>
      <c r="B394" s="176" t="s">
        <v>1379</v>
      </c>
      <c r="C394" s="176" t="s">
        <v>1380</v>
      </c>
      <c r="D394" s="176" t="s">
        <v>818</v>
      </c>
      <c r="E394" s="170" t="s">
        <v>701</v>
      </c>
      <c r="F394" s="177" t="s">
        <v>932</v>
      </c>
      <c r="G394" s="176" t="s">
        <v>709</v>
      </c>
      <c r="H394" s="178" t="s">
        <v>130</v>
      </c>
    </row>
    <row r="395" spans="1:8" ht="15.75" customHeight="1">
      <c r="A395" s="288"/>
      <c r="B395" s="173" t="s">
        <v>1381</v>
      </c>
      <c r="C395" s="173" t="s">
        <v>1382</v>
      </c>
      <c r="D395" s="173" t="s">
        <v>818</v>
      </c>
      <c r="E395" s="170" t="s">
        <v>701</v>
      </c>
      <c r="F395" s="174" t="s">
        <v>932</v>
      </c>
      <c r="G395" s="173" t="s">
        <v>1383</v>
      </c>
      <c r="H395" s="175" t="s">
        <v>130</v>
      </c>
    </row>
    <row r="396" spans="1:8" ht="15.75" customHeight="1">
      <c r="A396" s="288"/>
      <c r="B396" s="176" t="s">
        <v>1384</v>
      </c>
      <c r="C396" s="176" t="s">
        <v>1385</v>
      </c>
      <c r="D396" s="176" t="s">
        <v>818</v>
      </c>
      <c r="E396" s="170" t="s">
        <v>701</v>
      </c>
      <c r="F396" s="177" t="s">
        <v>932</v>
      </c>
      <c r="G396" s="176" t="s">
        <v>703</v>
      </c>
      <c r="H396" s="178" t="s">
        <v>130</v>
      </c>
    </row>
    <row r="397" spans="1:8" ht="15.75" customHeight="1">
      <c r="A397" s="288"/>
      <c r="B397" s="173" t="s">
        <v>1386</v>
      </c>
      <c r="C397" s="173" t="s">
        <v>1387</v>
      </c>
      <c r="D397" s="173" t="s">
        <v>818</v>
      </c>
      <c r="E397" s="170" t="s">
        <v>701</v>
      </c>
      <c r="F397" s="174" t="s">
        <v>932</v>
      </c>
      <c r="G397" s="173" t="s">
        <v>703</v>
      </c>
      <c r="H397" s="175" t="s">
        <v>130</v>
      </c>
    </row>
    <row r="398" spans="1:8" ht="15.75" customHeight="1">
      <c r="A398" s="288"/>
      <c r="B398" s="176" t="s">
        <v>1388</v>
      </c>
      <c r="C398" s="176" t="s">
        <v>1389</v>
      </c>
      <c r="D398" s="176" t="s">
        <v>818</v>
      </c>
      <c r="E398" s="170" t="s">
        <v>701</v>
      </c>
      <c r="F398" s="177" t="s">
        <v>932</v>
      </c>
      <c r="G398" s="176" t="s">
        <v>709</v>
      </c>
      <c r="H398" s="178" t="s">
        <v>130</v>
      </c>
    </row>
    <row r="399" spans="1:8" ht="15.75" customHeight="1">
      <c r="A399" s="288"/>
      <c r="B399" s="173" t="s">
        <v>1390</v>
      </c>
      <c r="C399" s="173" t="s">
        <v>1391</v>
      </c>
      <c r="D399" s="173" t="s">
        <v>818</v>
      </c>
      <c r="E399" s="170" t="s">
        <v>701</v>
      </c>
      <c r="F399" s="174" t="s">
        <v>932</v>
      </c>
      <c r="G399" s="173" t="s">
        <v>703</v>
      </c>
      <c r="H399" s="175" t="s">
        <v>130</v>
      </c>
    </row>
    <row r="400" spans="1:8" ht="15.75" customHeight="1">
      <c r="A400" s="288"/>
      <c r="B400" s="176" t="s">
        <v>1392</v>
      </c>
      <c r="C400" s="176" t="s">
        <v>1393</v>
      </c>
      <c r="D400" s="176" t="s">
        <v>818</v>
      </c>
      <c r="E400" s="170" t="s">
        <v>701</v>
      </c>
      <c r="F400" s="177" t="s">
        <v>932</v>
      </c>
      <c r="G400" s="176" t="s">
        <v>709</v>
      </c>
      <c r="H400" s="178" t="s">
        <v>130</v>
      </c>
    </row>
    <row r="401" spans="1:8" ht="15.75" customHeight="1">
      <c r="A401" s="288"/>
      <c r="B401" s="173" t="s">
        <v>1394</v>
      </c>
      <c r="C401" s="173" t="s">
        <v>1395</v>
      </c>
      <c r="D401" s="173" t="s">
        <v>818</v>
      </c>
      <c r="E401" s="170" t="s">
        <v>701</v>
      </c>
      <c r="F401" s="174" t="s">
        <v>932</v>
      </c>
      <c r="G401" s="173" t="s">
        <v>709</v>
      </c>
      <c r="H401" s="175" t="s">
        <v>130</v>
      </c>
    </row>
    <row r="402" spans="1:8" ht="15.75" customHeight="1">
      <c r="A402" s="288"/>
      <c r="B402" s="176" t="s">
        <v>1396</v>
      </c>
      <c r="C402" s="176" t="s">
        <v>1397</v>
      </c>
      <c r="D402" s="176" t="s">
        <v>818</v>
      </c>
      <c r="E402" s="170" t="s">
        <v>701</v>
      </c>
      <c r="F402" s="177" t="s">
        <v>932</v>
      </c>
      <c r="G402" s="176" t="s">
        <v>703</v>
      </c>
      <c r="H402" s="178" t="s">
        <v>130</v>
      </c>
    </row>
    <row r="403" spans="1:8" ht="15.75" customHeight="1">
      <c r="A403" s="288"/>
      <c r="B403" s="173" t="s">
        <v>1398</v>
      </c>
      <c r="C403" s="173" t="s">
        <v>1399</v>
      </c>
      <c r="D403" s="173" t="s">
        <v>818</v>
      </c>
      <c r="E403" s="170" t="s">
        <v>701</v>
      </c>
      <c r="F403" s="174" t="s">
        <v>932</v>
      </c>
      <c r="G403" s="173" t="s">
        <v>709</v>
      </c>
      <c r="H403" s="175" t="s">
        <v>130</v>
      </c>
    </row>
    <row r="404" spans="1:8" ht="15.75" customHeight="1">
      <c r="A404" s="288"/>
      <c r="B404" s="176" t="s">
        <v>1400</v>
      </c>
      <c r="C404" s="176" t="s">
        <v>1401</v>
      </c>
      <c r="D404" s="176" t="s">
        <v>818</v>
      </c>
      <c r="E404" s="170" t="s">
        <v>701</v>
      </c>
      <c r="F404" s="177" t="s">
        <v>932</v>
      </c>
      <c r="G404" s="176" t="s">
        <v>709</v>
      </c>
      <c r="H404" s="178" t="s">
        <v>130</v>
      </c>
    </row>
    <row r="405" spans="1:8" ht="15.75" customHeight="1">
      <c r="A405" s="288"/>
      <c r="B405" s="173" t="s">
        <v>1402</v>
      </c>
      <c r="C405" s="173" t="s">
        <v>1403</v>
      </c>
      <c r="D405" s="173" t="s">
        <v>818</v>
      </c>
      <c r="E405" s="170" t="s">
        <v>701</v>
      </c>
      <c r="F405" s="174" t="s">
        <v>932</v>
      </c>
      <c r="G405" s="173" t="s">
        <v>709</v>
      </c>
      <c r="H405" s="175" t="s">
        <v>130</v>
      </c>
    </row>
    <row r="406" spans="1:8" ht="15.75" customHeight="1">
      <c r="A406" s="288"/>
      <c r="B406" s="176" t="s">
        <v>1404</v>
      </c>
      <c r="C406" s="176" t="s">
        <v>1405</v>
      </c>
      <c r="D406" s="176" t="s">
        <v>818</v>
      </c>
      <c r="E406" s="170" t="s">
        <v>701</v>
      </c>
      <c r="F406" s="177" t="s">
        <v>932</v>
      </c>
      <c r="G406" s="176" t="s">
        <v>726</v>
      </c>
      <c r="H406" s="178" t="s">
        <v>1406</v>
      </c>
    </row>
    <row r="407" spans="1:8" ht="15.75" customHeight="1">
      <c r="A407" s="288"/>
      <c r="B407" s="173" t="s">
        <v>1407</v>
      </c>
      <c r="C407" s="173" t="s">
        <v>1408</v>
      </c>
      <c r="D407" s="173" t="s">
        <v>818</v>
      </c>
      <c r="E407" s="170" t="s">
        <v>701</v>
      </c>
      <c r="F407" s="174" t="s">
        <v>932</v>
      </c>
      <c r="G407" s="173" t="s">
        <v>709</v>
      </c>
      <c r="H407" s="175" t="s">
        <v>130</v>
      </c>
    </row>
    <row r="408" spans="1:8" ht="15.75" customHeight="1">
      <c r="A408" s="288"/>
      <c r="B408" s="176" t="s">
        <v>1409</v>
      </c>
      <c r="C408" s="176" t="s">
        <v>1410</v>
      </c>
      <c r="D408" s="176" t="s">
        <v>818</v>
      </c>
      <c r="E408" s="170" t="s">
        <v>701</v>
      </c>
      <c r="F408" s="177" t="s">
        <v>932</v>
      </c>
      <c r="G408" s="176" t="s">
        <v>709</v>
      </c>
      <c r="H408" s="178" t="s">
        <v>130</v>
      </c>
    </row>
    <row r="409" spans="1:8" ht="15.75" customHeight="1">
      <c r="A409" s="288"/>
      <c r="B409" s="173" t="s">
        <v>1411</v>
      </c>
      <c r="C409" s="173" t="s">
        <v>1412</v>
      </c>
      <c r="D409" s="173" t="s">
        <v>818</v>
      </c>
      <c r="E409" s="170" t="s">
        <v>701</v>
      </c>
      <c r="F409" s="174" t="s">
        <v>932</v>
      </c>
      <c r="G409" s="173" t="s">
        <v>709</v>
      </c>
      <c r="H409" s="175" t="s">
        <v>130</v>
      </c>
    </row>
    <row r="410" spans="1:8" ht="15.75" customHeight="1">
      <c r="A410" s="288"/>
      <c r="B410" s="176" t="s">
        <v>1413</v>
      </c>
      <c r="C410" s="176" t="s">
        <v>1414</v>
      </c>
      <c r="D410" s="176" t="s">
        <v>818</v>
      </c>
      <c r="E410" s="170" t="s">
        <v>701</v>
      </c>
      <c r="F410" s="177" t="s">
        <v>932</v>
      </c>
      <c r="G410" s="176" t="s">
        <v>709</v>
      </c>
      <c r="H410" s="178" t="s">
        <v>130</v>
      </c>
    </row>
    <row r="411" spans="1:8" ht="15.75" customHeight="1">
      <c r="A411" s="288"/>
      <c r="B411" s="173" t="s">
        <v>1415</v>
      </c>
      <c r="C411" s="173" t="s">
        <v>1416</v>
      </c>
      <c r="D411" s="173" t="s">
        <v>818</v>
      </c>
      <c r="E411" s="170" t="s">
        <v>701</v>
      </c>
      <c r="F411" s="174" t="s">
        <v>932</v>
      </c>
      <c r="G411" s="173" t="s">
        <v>706</v>
      </c>
      <c r="H411" s="175" t="s">
        <v>130</v>
      </c>
    </row>
    <row r="412" spans="1:8" ht="15.75" customHeight="1">
      <c r="A412" s="288"/>
      <c r="B412" s="176" t="s">
        <v>1417</v>
      </c>
      <c r="C412" s="176" t="s">
        <v>1418</v>
      </c>
      <c r="D412" s="176" t="s">
        <v>818</v>
      </c>
      <c r="E412" s="170" t="s">
        <v>701</v>
      </c>
      <c r="F412" s="177" t="s">
        <v>932</v>
      </c>
      <c r="G412" s="176" t="s">
        <v>812</v>
      </c>
      <c r="H412" s="178" t="s">
        <v>130</v>
      </c>
    </row>
    <row r="413" spans="1:8" ht="15.75" customHeight="1">
      <c r="A413" s="288"/>
      <c r="B413" s="173" t="s">
        <v>1419</v>
      </c>
      <c r="C413" s="173" t="s">
        <v>1420</v>
      </c>
      <c r="D413" s="173" t="s">
        <v>818</v>
      </c>
      <c r="E413" s="170" t="s">
        <v>701</v>
      </c>
      <c r="F413" s="174" t="s">
        <v>932</v>
      </c>
      <c r="G413" s="173" t="s">
        <v>726</v>
      </c>
      <c r="H413" s="175" t="s">
        <v>130</v>
      </c>
    </row>
    <row r="414" spans="1:8" ht="15.75" customHeight="1">
      <c r="A414" s="288"/>
      <c r="B414" s="176" t="s">
        <v>1421</v>
      </c>
      <c r="C414" s="176" t="s">
        <v>1422</v>
      </c>
      <c r="D414" s="176" t="s">
        <v>818</v>
      </c>
      <c r="E414" s="170" t="s">
        <v>701</v>
      </c>
      <c r="F414" s="177" t="s">
        <v>932</v>
      </c>
      <c r="G414" s="176" t="s">
        <v>726</v>
      </c>
      <c r="H414" s="178" t="s">
        <v>130</v>
      </c>
    </row>
    <row r="415" spans="1:8" ht="15.75" customHeight="1">
      <c r="A415" s="288"/>
      <c r="B415" s="173" t="s">
        <v>1423</v>
      </c>
      <c r="C415" s="173" t="s">
        <v>1424</v>
      </c>
      <c r="D415" s="173" t="s">
        <v>818</v>
      </c>
      <c r="E415" s="170" t="s">
        <v>701</v>
      </c>
      <c r="F415" s="174" t="s">
        <v>932</v>
      </c>
      <c r="G415" s="173" t="s">
        <v>703</v>
      </c>
      <c r="H415" s="175" t="s">
        <v>130</v>
      </c>
    </row>
    <row r="416" spans="1:8" ht="15.75" customHeight="1">
      <c r="A416" s="288"/>
      <c r="B416" s="176" t="s">
        <v>1425</v>
      </c>
      <c r="C416" s="176" t="s">
        <v>1426</v>
      </c>
      <c r="D416" s="176" t="s">
        <v>818</v>
      </c>
      <c r="E416" s="170" t="s">
        <v>701</v>
      </c>
      <c r="F416" s="177" t="s">
        <v>932</v>
      </c>
      <c r="G416" s="176" t="s">
        <v>709</v>
      </c>
      <c r="H416" s="178" t="s">
        <v>130</v>
      </c>
    </row>
    <row r="417" spans="1:8" ht="15.75" customHeight="1">
      <c r="A417" s="288"/>
      <c r="B417" s="173" t="s">
        <v>1427</v>
      </c>
      <c r="C417" s="173" t="s">
        <v>1428</v>
      </c>
      <c r="D417" s="173" t="s">
        <v>818</v>
      </c>
      <c r="E417" s="170" t="s">
        <v>701</v>
      </c>
      <c r="F417" s="174" t="s">
        <v>932</v>
      </c>
      <c r="G417" s="173" t="s">
        <v>703</v>
      </c>
      <c r="H417" s="175" t="s">
        <v>130</v>
      </c>
    </row>
    <row r="418" spans="1:8" ht="15.75" customHeight="1">
      <c r="A418" s="288"/>
      <c r="B418" s="176" t="s">
        <v>1429</v>
      </c>
      <c r="C418" s="176" t="s">
        <v>1430</v>
      </c>
      <c r="D418" s="176" t="s">
        <v>818</v>
      </c>
      <c r="E418" s="170" t="s">
        <v>701</v>
      </c>
      <c r="F418" s="177" t="s">
        <v>932</v>
      </c>
      <c r="G418" s="176" t="s">
        <v>709</v>
      </c>
      <c r="H418" s="178" t="s">
        <v>130</v>
      </c>
    </row>
    <row r="419" spans="1:8" ht="15.75" customHeight="1">
      <c r="A419" s="288"/>
      <c r="B419" s="173" t="s">
        <v>1431</v>
      </c>
      <c r="C419" s="173" t="s">
        <v>1432</v>
      </c>
      <c r="D419" s="173" t="s">
        <v>818</v>
      </c>
      <c r="E419" s="170" t="s">
        <v>701</v>
      </c>
      <c r="F419" s="174" t="s">
        <v>932</v>
      </c>
      <c r="G419" s="173" t="s">
        <v>709</v>
      </c>
      <c r="H419" s="175" t="s">
        <v>130</v>
      </c>
    </row>
    <row r="420" spans="1:8" ht="15.75" customHeight="1">
      <c r="A420" s="288"/>
      <c r="B420" s="176" t="s">
        <v>1433</v>
      </c>
      <c r="C420" s="176" t="s">
        <v>1434</v>
      </c>
      <c r="D420" s="176" t="s">
        <v>818</v>
      </c>
      <c r="E420" s="170" t="s">
        <v>701</v>
      </c>
      <c r="F420" s="177" t="s">
        <v>932</v>
      </c>
      <c r="G420" s="176" t="s">
        <v>709</v>
      </c>
      <c r="H420" s="178" t="s">
        <v>130</v>
      </c>
    </row>
    <row r="421" spans="1:8" ht="15.75" customHeight="1">
      <c r="A421" s="288"/>
      <c r="B421" s="173" t="s">
        <v>1435</v>
      </c>
      <c r="C421" s="173" t="s">
        <v>1436</v>
      </c>
      <c r="D421" s="173" t="s">
        <v>818</v>
      </c>
      <c r="E421" s="170" t="s">
        <v>701</v>
      </c>
      <c r="F421" s="174" t="s">
        <v>932</v>
      </c>
      <c r="G421" s="173" t="s">
        <v>726</v>
      </c>
      <c r="H421" s="175" t="s">
        <v>130</v>
      </c>
    </row>
    <row r="422" spans="1:8" ht="15.75" customHeight="1">
      <c r="A422" s="288"/>
      <c r="B422" s="176" t="s">
        <v>1437</v>
      </c>
      <c r="C422" s="176" t="s">
        <v>1438</v>
      </c>
      <c r="D422" s="176" t="s">
        <v>818</v>
      </c>
      <c r="E422" s="170" t="s">
        <v>701</v>
      </c>
      <c r="F422" s="177" t="s">
        <v>932</v>
      </c>
      <c r="G422" s="176" t="s">
        <v>706</v>
      </c>
      <c r="H422" s="178" t="s">
        <v>973</v>
      </c>
    </row>
    <row r="423" spans="1:8" ht="15.75" customHeight="1">
      <c r="A423" s="288"/>
      <c r="B423" s="173" t="s">
        <v>1439</v>
      </c>
      <c r="C423" s="173" t="s">
        <v>1440</v>
      </c>
      <c r="D423" s="173" t="s">
        <v>818</v>
      </c>
      <c r="E423" s="170" t="s">
        <v>701</v>
      </c>
      <c r="F423" s="174" t="s">
        <v>932</v>
      </c>
      <c r="G423" s="173" t="s">
        <v>703</v>
      </c>
      <c r="H423" s="175" t="s">
        <v>130</v>
      </c>
    </row>
    <row r="424" spans="1:8" ht="15.75" customHeight="1">
      <c r="A424" s="288"/>
      <c r="B424" s="176" t="s">
        <v>1441</v>
      </c>
      <c r="C424" s="176" t="s">
        <v>1442</v>
      </c>
      <c r="D424" s="176" t="s">
        <v>818</v>
      </c>
      <c r="E424" s="170" t="s">
        <v>701</v>
      </c>
      <c r="F424" s="177" t="s">
        <v>932</v>
      </c>
      <c r="G424" s="176" t="s">
        <v>709</v>
      </c>
      <c r="H424" s="178" t="s">
        <v>130</v>
      </c>
    </row>
    <row r="425" spans="1:8" ht="15.75" customHeight="1">
      <c r="A425" s="288"/>
      <c r="B425" s="173" t="s">
        <v>1443</v>
      </c>
      <c r="C425" s="173" t="s">
        <v>1444</v>
      </c>
      <c r="D425" s="173" t="s">
        <v>818</v>
      </c>
      <c r="E425" s="170" t="s">
        <v>701</v>
      </c>
      <c r="F425" s="174" t="s">
        <v>932</v>
      </c>
      <c r="G425" s="173" t="s">
        <v>709</v>
      </c>
      <c r="H425" s="175" t="s">
        <v>130</v>
      </c>
    </row>
    <row r="426" spans="1:8" ht="15.75" customHeight="1">
      <c r="A426" s="288"/>
      <c r="B426" s="176" t="s">
        <v>1445</v>
      </c>
      <c r="C426" s="176" t="s">
        <v>1446</v>
      </c>
      <c r="D426" s="176" t="s">
        <v>818</v>
      </c>
      <c r="E426" s="170" t="s">
        <v>701</v>
      </c>
      <c r="F426" s="177" t="s">
        <v>932</v>
      </c>
      <c r="G426" s="176" t="s">
        <v>726</v>
      </c>
      <c r="H426" s="178" t="s">
        <v>130</v>
      </c>
    </row>
    <row r="427" spans="1:8" ht="15.75" customHeight="1">
      <c r="A427" s="288"/>
      <c r="B427" s="173" t="s">
        <v>1447</v>
      </c>
      <c r="C427" s="173" t="s">
        <v>1448</v>
      </c>
      <c r="D427" s="173" t="s">
        <v>818</v>
      </c>
      <c r="E427" s="170" t="s">
        <v>701</v>
      </c>
      <c r="F427" s="174" t="s">
        <v>932</v>
      </c>
      <c r="G427" s="173" t="s">
        <v>703</v>
      </c>
      <c r="H427" s="175" t="s">
        <v>130</v>
      </c>
    </row>
    <row r="428" spans="1:8" ht="15.75" customHeight="1">
      <c r="A428" s="288"/>
      <c r="B428" s="176" t="s">
        <v>1449</v>
      </c>
      <c r="C428" s="176" t="s">
        <v>1450</v>
      </c>
      <c r="D428" s="176" t="s">
        <v>818</v>
      </c>
      <c r="E428" s="170" t="s">
        <v>701</v>
      </c>
      <c r="F428" s="177" t="s">
        <v>932</v>
      </c>
      <c r="G428" s="176" t="s">
        <v>709</v>
      </c>
      <c r="H428" s="178" t="s">
        <v>130</v>
      </c>
    </row>
    <row r="429" spans="1:8" ht="15.75" customHeight="1">
      <c r="A429" s="288"/>
      <c r="B429" s="173" t="s">
        <v>1451</v>
      </c>
      <c r="C429" s="173" t="s">
        <v>1452</v>
      </c>
      <c r="D429" s="173" t="s">
        <v>818</v>
      </c>
      <c r="E429" s="170" t="s">
        <v>701</v>
      </c>
      <c r="F429" s="174" t="s">
        <v>932</v>
      </c>
      <c r="G429" s="173" t="s">
        <v>709</v>
      </c>
      <c r="H429" s="175" t="s">
        <v>130</v>
      </c>
    </row>
    <row r="430" spans="1:8" ht="15.75" customHeight="1">
      <c r="A430" s="288"/>
      <c r="B430" s="176" t="s">
        <v>1453</v>
      </c>
      <c r="C430" s="176" t="s">
        <v>1454</v>
      </c>
      <c r="D430" s="176" t="s">
        <v>818</v>
      </c>
      <c r="E430" s="170" t="s">
        <v>701</v>
      </c>
      <c r="F430" s="177" t="s">
        <v>932</v>
      </c>
      <c r="G430" s="176" t="s">
        <v>706</v>
      </c>
      <c r="H430" s="178" t="s">
        <v>1455</v>
      </c>
    </row>
    <row r="431" spans="1:8" ht="15.75" customHeight="1">
      <c r="A431" s="288"/>
      <c r="B431" s="173" t="s">
        <v>1456</v>
      </c>
      <c r="C431" s="173" t="s">
        <v>1457</v>
      </c>
      <c r="D431" s="173" t="s">
        <v>818</v>
      </c>
      <c r="E431" s="170" t="s">
        <v>701</v>
      </c>
      <c r="F431" s="174" t="s">
        <v>932</v>
      </c>
      <c r="G431" s="173" t="s">
        <v>706</v>
      </c>
      <c r="H431" s="175" t="s">
        <v>130</v>
      </c>
    </row>
    <row r="432" spans="1:8" ht="15.75" customHeight="1">
      <c r="A432" s="288"/>
      <c r="B432" s="176" t="s">
        <v>1458</v>
      </c>
      <c r="C432" s="176" t="s">
        <v>1459</v>
      </c>
      <c r="D432" s="176" t="s">
        <v>818</v>
      </c>
      <c r="E432" s="170" t="s">
        <v>701</v>
      </c>
      <c r="F432" s="177" t="s">
        <v>932</v>
      </c>
      <c r="G432" s="176" t="s">
        <v>703</v>
      </c>
      <c r="H432" s="178" t="s">
        <v>130</v>
      </c>
    </row>
    <row r="433" spans="1:8" ht="15.75" customHeight="1">
      <c r="A433" s="288"/>
      <c r="B433" s="173" t="s">
        <v>1460</v>
      </c>
      <c r="C433" s="173" t="s">
        <v>1461</v>
      </c>
      <c r="D433" s="173" t="s">
        <v>818</v>
      </c>
      <c r="E433" s="170" t="s">
        <v>701</v>
      </c>
      <c r="F433" s="174" t="s">
        <v>932</v>
      </c>
      <c r="G433" s="173" t="s">
        <v>706</v>
      </c>
      <c r="H433" s="175" t="s">
        <v>980</v>
      </c>
    </row>
    <row r="434" spans="1:8" ht="15.75" customHeight="1">
      <c r="A434" s="288"/>
      <c r="B434" s="176" t="s">
        <v>1462</v>
      </c>
      <c r="C434" s="176" t="s">
        <v>1463</v>
      </c>
      <c r="D434" s="176" t="s">
        <v>818</v>
      </c>
      <c r="E434" s="170" t="s">
        <v>701</v>
      </c>
      <c r="F434" s="177" t="s">
        <v>932</v>
      </c>
      <c r="G434" s="176" t="s">
        <v>726</v>
      </c>
      <c r="H434" s="178" t="s">
        <v>130</v>
      </c>
    </row>
    <row r="435" spans="1:8" ht="15.75" customHeight="1">
      <c r="A435" s="288"/>
      <c r="B435" s="173" t="s">
        <v>1464</v>
      </c>
      <c r="C435" s="173" t="s">
        <v>1465</v>
      </c>
      <c r="D435" s="173" t="s">
        <v>818</v>
      </c>
      <c r="E435" s="170" t="s">
        <v>701</v>
      </c>
      <c r="F435" s="174" t="s">
        <v>932</v>
      </c>
      <c r="G435" s="173" t="s">
        <v>703</v>
      </c>
      <c r="H435" s="175" t="s">
        <v>130</v>
      </c>
    </row>
    <row r="436" spans="1:8" ht="15.75" customHeight="1">
      <c r="A436" s="288"/>
      <c r="B436" s="176" t="s">
        <v>1466</v>
      </c>
      <c r="C436" s="176" t="s">
        <v>1467</v>
      </c>
      <c r="D436" s="176" t="s">
        <v>818</v>
      </c>
      <c r="E436" s="170" t="s">
        <v>701</v>
      </c>
      <c r="F436" s="177" t="s">
        <v>932</v>
      </c>
      <c r="G436" s="176" t="s">
        <v>703</v>
      </c>
      <c r="H436" s="178" t="s">
        <v>130</v>
      </c>
    </row>
    <row r="437" spans="1:8" ht="15.75" customHeight="1">
      <c r="A437" s="288"/>
      <c r="B437" s="173" t="s">
        <v>1468</v>
      </c>
      <c r="C437" s="173" t="s">
        <v>1469</v>
      </c>
      <c r="D437" s="173" t="s">
        <v>818</v>
      </c>
      <c r="E437" s="170" t="s">
        <v>701</v>
      </c>
      <c r="F437" s="174" t="s">
        <v>932</v>
      </c>
      <c r="G437" s="173" t="s">
        <v>706</v>
      </c>
      <c r="H437" s="175" t="s">
        <v>130</v>
      </c>
    </row>
    <row r="438" spans="1:8" ht="15.75" customHeight="1">
      <c r="A438" s="288"/>
      <c r="B438" s="176" t="s">
        <v>1470</v>
      </c>
      <c r="C438" s="176" t="s">
        <v>1471</v>
      </c>
      <c r="D438" s="176" t="s">
        <v>818</v>
      </c>
      <c r="E438" s="170" t="s">
        <v>701</v>
      </c>
      <c r="F438" s="177" t="s">
        <v>932</v>
      </c>
      <c r="G438" s="176" t="s">
        <v>703</v>
      </c>
      <c r="H438" s="178" t="s">
        <v>130</v>
      </c>
    </row>
    <row r="439" spans="1:8" ht="15.75" customHeight="1">
      <c r="A439" s="288"/>
      <c r="B439" s="173" t="s">
        <v>1472</v>
      </c>
      <c r="C439" s="173" t="s">
        <v>1473</v>
      </c>
      <c r="D439" s="173" t="s">
        <v>818</v>
      </c>
      <c r="E439" s="170" t="s">
        <v>701</v>
      </c>
      <c r="F439" s="174" t="s">
        <v>932</v>
      </c>
      <c r="G439" s="173" t="s">
        <v>745</v>
      </c>
      <c r="H439" s="175" t="s">
        <v>130</v>
      </c>
    </row>
    <row r="440" spans="1:8" ht="15.75" customHeight="1">
      <c r="A440" s="288"/>
      <c r="B440" s="176" t="s">
        <v>1474</v>
      </c>
      <c r="C440" s="176" t="s">
        <v>1475</v>
      </c>
      <c r="D440" s="176" t="s">
        <v>818</v>
      </c>
      <c r="E440" s="170" t="s">
        <v>701</v>
      </c>
      <c r="F440" s="177" t="s">
        <v>932</v>
      </c>
      <c r="G440" s="176" t="s">
        <v>703</v>
      </c>
      <c r="H440" s="178" t="s">
        <v>130</v>
      </c>
    </row>
    <row r="441" spans="1:8" ht="15.75" customHeight="1">
      <c r="A441" s="288"/>
      <c r="B441" s="173" t="s">
        <v>1476</v>
      </c>
      <c r="C441" s="173" t="s">
        <v>1477</v>
      </c>
      <c r="D441" s="173" t="s">
        <v>818</v>
      </c>
      <c r="E441" s="170" t="s">
        <v>701</v>
      </c>
      <c r="F441" s="174" t="s">
        <v>932</v>
      </c>
      <c r="G441" s="173" t="s">
        <v>726</v>
      </c>
      <c r="H441" s="175" t="s">
        <v>130</v>
      </c>
    </row>
    <row r="442" spans="1:8" ht="15.75" customHeight="1">
      <c r="A442" s="288"/>
      <c r="B442" s="176" t="s">
        <v>1478</v>
      </c>
      <c r="C442" s="176" t="s">
        <v>1479</v>
      </c>
      <c r="D442" s="176" t="s">
        <v>818</v>
      </c>
      <c r="E442" s="170" t="s">
        <v>701</v>
      </c>
      <c r="F442" s="177" t="s">
        <v>932</v>
      </c>
      <c r="G442" s="176" t="s">
        <v>703</v>
      </c>
      <c r="H442" s="178" t="s">
        <v>130</v>
      </c>
    </row>
    <row r="443" spans="1:8" ht="15.75" customHeight="1">
      <c r="A443" s="288"/>
      <c r="B443" s="173" t="s">
        <v>1480</v>
      </c>
      <c r="C443" s="173" t="s">
        <v>1481</v>
      </c>
      <c r="D443" s="173" t="s">
        <v>818</v>
      </c>
      <c r="E443" s="170" t="s">
        <v>701</v>
      </c>
      <c r="F443" s="174" t="s">
        <v>932</v>
      </c>
      <c r="G443" s="173" t="s">
        <v>706</v>
      </c>
      <c r="H443" s="175" t="s">
        <v>1482</v>
      </c>
    </row>
    <row r="444" spans="1:8" ht="15.75" customHeight="1">
      <c r="A444" s="288"/>
      <c r="B444" s="176" t="s">
        <v>1483</v>
      </c>
      <c r="C444" s="176" t="s">
        <v>1484</v>
      </c>
      <c r="D444" s="176" t="s">
        <v>818</v>
      </c>
      <c r="E444" s="170" t="s">
        <v>701</v>
      </c>
      <c r="F444" s="177" t="s">
        <v>932</v>
      </c>
      <c r="G444" s="176" t="s">
        <v>726</v>
      </c>
      <c r="H444" s="178" t="s">
        <v>130</v>
      </c>
    </row>
    <row r="445" spans="1:8" ht="15.75" customHeight="1">
      <c r="A445" s="288"/>
      <c r="B445" s="173" t="s">
        <v>1485</v>
      </c>
      <c r="C445" s="173" t="s">
        <v>1486</v>
      </c>
      <c r="D445" s="173" t="s">
        <v>818</v>
      </c>
      <c r="E445" s="170" t="s">
        <v>701</v>
      </c>
      <c r="F445" s="174" t="s">
        <v>932</v>
      </c>
      <c r="G445" s="173" t="s">
        <v>709</v>
      </c>
      <c r="H445" s="175" t="s">
        <v>130</v>
      </c>
    </row>
    <row r="446" spans="1:8" ht="15.75" customHeight="1">
      <c r="A446" s="288"/>
      <c r="B446" s="176" t="s">
        <v>1487</v>
      </c>
      <c r="C446" s="176" t="s">
        <v>1488</v>
      </c>
      <c r="D446" s="176" t="s">
        <v>818</v>
      </c>
      <c r="E446" s="170" t="s">
        <v>701</v>
      </c>
      <c r="F446" s="177" t="s">
        <v>932</v>
      </c>
      <c r="G446" s="176" t="s">
        <v>726</v>
      </c>
      <c r="H446" s="178" t="s">
        <v>130</v>
      </c>
    </row>
    <row r="447" spans="1:8" ht="15.75" customHeight="1">
      <c r="A447" s="288"/>
      <c r="B447" s="173" t="s">
        <v>1489</v>
      </c>
      <c r="C447" s="173" t="s">
        <v>1490</v>
      </c>
      <c r="D447" s="173" t="s">
        <v>818</v>
      </c>
      <c r="E447" s="170" t="s">
        <v>701</v>
      </c>
      <c r="F447" s="174" t="s">
        <v>932</v>
      </c>
      <c r="G447" s="173" t="s">
        <v>703</v>
      </c>
      <c r="H447" s="175" t="s">
        <v>130</v>
      </c>
    </row>
    <row r="448" spans="1:8" ht="15.75" customHeight="1">
      <c r="A448" s="288"/>
      <c r="B448" s="176" t="s">
        <v>1491</v>
      </c>
      <c r="C448" s="176" t="s">
        <v>1492</v>
      </c>
      <c r="D448" s="176" t="s">
        <v>818</v>
      </c>
      <c r="E448" s="170" t="s">
        <v>701</v>
      </c>
      <c r="F448" s="177" t="s">
        <v>932</v>
      </c>
      <c r="G448" s="176" t="s">
        <v>726</v>
      </c>
      <c r="H448" s="178" t="s">
        <v>130</v>
      </c>
    </row>
    <row r="449" spans="1:8" ht="15.75" customHeight="1">
      <c r="A449" s="288"/>
      <c r="B449" s="173" t="s">
        <v>1493</v>
      </c>
      <c r="C449" s="173" t="s">
        <v>1494</v>
      </c>
      <c r="D449" s="173" t="s">
        <v>818</v>
      </c>
      <c r="E449" s="170" t="s">
        <v>701</v>
      </c>
      <c r="F449" s="174" t="s">
        <v>932</v>
      </c>
      <c r="G449" s="173" t="s">
        <v>726</v>
      </c>
      <c r="H449" s="175" t="s">
        <v>130</v>
      </c>
    </row>
    <row r="450" spans="1:8" ht="15.75" customHeight="1">
      <c r="A450" s="288"/>
      <c r="B450" s="176" t="s">
        <v>1495</v>
      </c>
      <c r="C450" s="176" t="s">
        <v>1496</v>
      </c>
      <c r="D450" s="176" t="s">
        <v>818</v>
      </c>
      <c r="E450" s="170" t="s">
        <v>701</v>
      </c>
      <c r="F450" s="177" t="s">
        <v>932</v>
      </c>
      <c r="G450" s="176" t="s">
        <v>723</v>
      </c>
      <c r="H450" s="178" t="s">
        <v>130</v>
      </c>
    </row>
    <row r="451" spans="1:8" ht="15.75" customHeight="1">
      <c r="A451" s="288"/>
      <c r="B451" s="173" t="s">
        <v>1497</v>
      </c>
      <c r="C451" s="173" t="s">
        <v>1498</v>
      </c>
      <c r="D451" s="173" t="s">
        <v>818</v>
      </c>
      <c r="E451" s="170" t="s">
        <v>701</v>
      </c>
      <c r="F451" s="174" t="s">
        <v>932</v>
      </c>
      <c r="G451" s="173" t="s">
        <v>726</v>
      </c>
      <c r="H451" s="175" t="s">
        <v>130</v>
      </c>
    </row>
    <row r="452" spans="1:8" ht="15.75" customHeight="1">
      <c r="A452" s="288"/>
      <c r="B452" s="176" t="s">
        <v>1499</v>
      </c>
      <c r="C452" s="176" t="s">
        <v>1500</v>
      </c>
      <c r="D452" s="176" t="s">
        <v>818</v>
      </c>
      <c r="E452" s="170" t="s">
        <v>701</v>
      </c>
      <c r="F452" s="177" t="s">
        <v>932</v>
      </c>
      <c r="G452" s="176" t="s">
        <v>726</v>
      </c>
      <c r="H452" s="178" t="s">
        <v>130</v>
      </c>
    </row>
    <row r="453" spans="1:8" ht="15.75" customHeight="1">
      <c r="A453" s="288"/>
      <c r="B453" s="173" t="s">
        <v>1501</v>
      </c>
      <c r="C453" s="173" t="s">
        <v>1502</v>
      </c>
      <c r="D453" s="173" t="s">
        <v>818</v>
      </c>
      <c r="E453" s="170" t="s">
        <v>701</v>
      </c>
      <c r="F453" s="174" t="s">
        <v>932</v>
      </c>
      <c r="G453" s="173" t="s">
        <v>709</v>
      </c>
      <c r="H453" s="175" t="s">
        <v>130</v>
      </c>
    </row>
    <row r="454" spans="1:8" ht="15.75" customHeight="1">
      <c r="A454" s="288"/>
      <c r="B454" s="176" t="s">
        <v>1503</v>
      </c>
      <c r="C454" s="176" t="s">
        <v>1504</v>
      </c>
      <c r="D454" s="176" t="s">
        <v>818</v>
      </c>
      <c r="E454" s="170" t="s">
        <v>701</v>
      </c>
      <c r="F454" s="177" t="s">
        <v>932</v>
      </c>
      <c r="G454" s="176" t="s">
        <v>703</v>
      </c>
      <c r="H454" s="178" t="s">
        <v>130</v>
      </c>
    </row>
    <row r="455" spans="1:8" ht="15.75" customHeight="1">
      <c r="A455" s="288"/>
      <c r="B455" s="173" t="s">
        <v>1505</v>
      </c>
      <c r="C455" s="173" t="s">
        <v>1506</v>
      </c>
      <c r="D455" s="173" t="s">
        <v>818</v>
      </c>
      <c r="E455" s="170" t="s">
        <v>701</v>
      </c>
      <c r="F455" s="174" t="s">
        <v>932</v>
      </c>
      <c r="G455" s="173" t="s">
        <v>703</v>
      </c>
      <c r="H455" s="175" t="s">
        <v>130</v>
      </c>
    </row>
    <row r="456" spans="1:8" ht="15.75" customHeight="1">
      <c r="A456" s="288"/>
      <c r="B456" s="176" t="s">
        <v>1507</v>
      </c>
      <c r="C456" s="176" t="s">
        <v>1508</v>
      </c>
      <c r="D456" s="176" t="s">
        <v>818</v>
      </c>
      <c r="E456" s="170" t="s">
        <v>701</v>
      </c>
      <c r="F456" s="177" t="s">
        <v>932</v>
      </c>
      <c r="G456" s="176" t="s">
        <v>703</v>
      </c>
      <c r="H456" s="178" t="s">
        <v>130</v>
      </c>
    </row>
    <row r="457" spans="1:8" ht="15.75" customHeight="1">
      <c r="A457" s="288"/>
      <c r="B457" s="173" t="s">
        <v>1509</v>
      </c>
      <c r="C457" s="173" t="s">
        <v>1510</v>
      </c>
      <c r="D457" s="173" t="s">
        <v>818</v>
      </c>
      <c r="E457" s="170" t="s">
        <v>701</v>
      </c>
      <c r="F457" s="174" t="s">
        <v>932</v>
      </c>
      <c r="G457" s="173" t="s">
        <v>1511</v>
      </c>
      <c r="H457" s="175" t="s">
        <v>130</v>
      </c>
    </row>
    <row r="458" spans="1:8" ht="15.75" customHeight="1">
      <c r="A458" s="288"/>
      <c r="B458" s="176" t="s">
        <v>1512</v>
      </c>
      <c r="C458" s="176" t="s">
        <v>1513</v>
      </c>
      <c r="D458" s="176" t="s">
        <v>818</v>
      </c>
      <c r="E458" s="170" t="s">
        <v>701</v>
      </c>
      <c r="F458" s="177" t="s">
        <v>932</v>
      </c>
      <c r="G458" s="176" t="s">
        <v>709</v>
      </c>
      <c r="H458" s="178" t="s">
        <v>130</v>
      </c>
    </row>
    <row r="459" spans="1:8" ht="15.75" customHeight="1">
      <c r="A459" s="288"/>
      <c r="B459" s="173" t="s">
        <v>1514</v>
      </c>
      <c r="C459" s="173" t="s">
        <v>1515</v>
      </c>
      <c r="D459" s="173" t="s">
        <v>931</v>
      </c>
      <c r="E459" s="170" t="s">
        <v>701</v>
      </c>
      <c r="F459" s="174" t="s">
        <v>932</v>
      </c>
      <c r="G459" s="173" t="s">
        <v>726</v>
      </c>
      <c r="H459" s="175" t="s">
        <v>130</v>
      </c>
    </row>
    <row r="460" spans="1:8" ht="15.75" customHeight="1">
      <c r="A460" s="288"/>
      <c r="B460" s="176" t="s">
        <v>1516</v>
      </c>
      <c r="C460" s="176" t="s">
        <v>1517</v>
      </c>
      <c r="D460" s="176" t="s">
        <v>818</v>
      </c>
      <c r="E460" s="170" t="s">
        <v>701</v>
      </c>
      <c r="F460" s="177" t="s">
        <v>932</v>
      </c>
      <c r="G460" s="176" t="s">
        <v>1518</v>
      </c>
      <c r="H460" s="178" t="s">
        <v>130</v>
      </c>
    </row>
    <row r="461" spans="1:8" ht="15.75" customHeight="1">
      <c r="A461" s="288"/>
      <c r="B461" s="173" t="s">
        <v>1519</v>
      </c>
      <c r="C461" s="173" t="s">
        <v>1520</v>
      </c>
      <c r="D461" s="173" t="s">
        <v>818</v>
      </c>
      <c r="E461" s="170" t="s">
        <v>701</v>
      </c>
      <c r="F461" s="174" t="s">
        <v>932</v>
      </c>
      <c r="G461" s="173" t="s">
        <v>703</v>
      </c>
      <c r="H461" s="175" t="s">
        <v>130</v>
      </c>
    </row>
    <row r="462" spans="1:8" ht="15.75" customHeight="1">
      <c r="A462" s="288"/>
      <c r="B462" s="176" t="s">
        <v>1521</v>
      </c>
      <c r="C462" s="176" t="s">
        <v>1522</v>
      </c>
      <c r="D462" s="176" t="s">
        <v>818</v>
      </c>
      <c r="E462" s="170" t="s">
        <v>701</v>
      </c>
      <c r="F462" s="177" t="s">
        <v>932</v>
      </c>
      <c r="G462" s="176" t="s">
        <v>703</v>
      </c>
      <c r="H462" s="178" t="s">
        <v>130</v>
      </c>
    </row>
    <row r="463" spans="1:8" ht="15.75" customHeight="1">
      <c r="A463" s="288"/>
      <c r="B463" s="173" t="s">
        <v>1523</v>
      </c>
      <c r="C463" s="173" t="s">
        <v>1524</v>
      </c>
      <c r="D463" s="173" t="s">
        <v>818</v>
      </c>
      <c r="E463" s="170" t="s">
        <v>701</v>
      </c>
      <c r="F463" s="174" t="s">
        <v>932</v>
      </c>
      <c r="G463" s="173" t="s">
        <v>726</v>
      </c>
      <c r="H463" s="175" t="s">
        <v>130</v>
      </c>
    </row>
    <row r="464" spans="1:8" ht="15.75" customHeight="1">
      <c r="A464" s="288"/>
      <c r="B464" s="176" t="s">
        <v>1525</v>
      </c>
      <c r="C464" s="176" t="s">
        <v>1526</v>
      </c>
      <c r="D464" s="176" t="s">
        <v>818</v>
      </c>
      <c r="E464" s="170" t="s">
        <v>701</v>
      </c>
      <c r="F464" s="177" t="s">
        <v>932</v>
      </c>
      <c r="G464" s="176" t="s">
        <v>703</v>
      </c>
      <c r="H464" s="178" t="s">
        <v>130</v>
      </c>
    </row>
    <row r="465" spans="1:8" ht="15.75" customHeight="1">
      <c r="A465" s="288"/>
      <c r="B465" s="173" t="s">
        <v>1527</v>
      </c>
      <c r="C465" s="173" t="s">
        <v>1528</v>
      </c>
      <c r="D465" s="173" t="s">
        <v>818</v>
      </c>
      <c r="E465" s="170" t="s">
        <v>701</v>
      </c>
      <c r="F465" s="174" t="s">
        <v>932</v>
      </c>
      <c r="G465" s="173" t="s">
        <v>703</v>
      </c>
      <c r="H465" s="175" t="s">
        <v>130</v>
      </c>
    </row>
    <row r="466" spans="1:8" ht="15.75" customHeight="1">
      <c r="A466" s="288"/>
      <c r="B466" s="176" t="s">
        <v>1529</v>
      </c>
      <c r="C466" s="176" t="s">
        <v>1530</v>
      </c>
      <c r="D466" s="176" t="s">
        <v>818</v>
      </c>
      <c r="E466" s="170" t="s">
        <v>701</v>
      </c>
      <c r="F466" s="177" t="s">
        <v>932</v>
      </c>
      <c r="G466" s="176" t="s">
        <v>706</v>
      </c>
      <c r="H466" s="178" t="s">
        <v>1455</v>
      </c>
    </row>
    <row r="467" spans="1:8" ht="15.75" customHeight="1">
      <c r="A467" s="288"/>
      <c r="B467" s="173" t="s">
        <v>1531</v>
      </c>
      <c r="C467" s="173" t="s">
        <v>1532</v>
      </c>
      <c r="D467" s="173" t="s">
        <v>818</v>
      </c>
      <c r="E467" s="170" t="s">
        <v>701</v>
      </c>
      <c r="F467" s="174" t="s">
        <v>932</v>
      </c>
      <c r="G467" s="173" t="s">
        <v>703</v>
      </c>
      <c r="H467" s="175" t="s">
        <v>130</v>
      </c>
    </row>
    <row r="468" spans="1:8" ht="15.75" customHeight="1">
      <c r="A468" s="288"/>
      <c r="B468" s="176" t="s">
        <v>1533</v>
      </c>
      <c r="C468" s="176" t="s">
        <v>1534</v>
      </c>
      <c r="D468" s="176" t="s">
        <v>818</v>
      </c>
      <c r="E468" s="170" t="s">
        <v>701</v>
      </c>
      <c r="F468" s="177" t="s">
        <v>932</v>
      </c>
      <c r="G468" s="176" t="s">
        <v>703</v>
      </c>
      <c r="H468" s="178" t="s">
        <v>130</v>
      </c>
    </row>
    <row r="469" spans="1:8" ht="15.75" customHeight="1">
      <c r="A469" s="288"/>
      <c r="B469" s="173" t="s">
        <v>1535</v>
      </c>
      <c r="C469" s="173" t="s">
        <v>1536</v>
      </c>
      <c r="D469" s="173" t="s">
        <v>818</v>
      </c>
      <c r="E469" s="170" t="s">
        <v>701</v>
      </c>
      <c r="F469" s="174" t="s">
        <v>932</v>
      </c>
      <c r="G469" s="173" t="s">
        <v>709</v>
      </c>
      <c r="H469" s="175" t="s">
        <v>130</v>
      </c>
    </row>
    <row r="470" spans="1:8" ht="15.75" customHeight="1">
      <c r="A470" s="288"/>
      <c r="B470" s="176" t="s">
        <v>1537</v>
      </c>
      <c r="C470" s="176" t="s">
        <v>1538</v>
      </c>
      <c r="D470" s="176" t="s">
        <v>818</v>
      </c>
      <c r="E470" s="170" t="s">
        <v>701</v>
      </c>
      <c r="F470" s="177" t="s">
        <v>932</v>
      </c>
      <c r="G470" s="176" t="s">
        <v>703</v>
      </c>
      <c r="H470" s="178" t="s">
        <v>130</v>
      </c>
    </row>
    <row r="471" spans="1:8" ht="15.75" customHeight="1">
      <c r="A471" s="288"/>
      <c r="B471" s="173" t="s">
        <v>1539</v>
      </c>
      <c r="C471" s="173" t="s">
        <v>1540</v>
      </c>
      <c r="D471" s="173" t="s">
        <v>818</v>
      </c>
      <c r="E471" s="170" t="s">
        <v>701</v>
      </c>
      <c r="F471" s="174" t="s">
        <v>932</v>
      </c>
      <c r="G471" s="173" t="s">
        <v>709</v>
      </c>
      <c r="H471" s="175" t="s">
        <v>130</v>
      </c>
    </row>
    <row r="472" spans="1:8" ht="15.75" customHeight="1">
      <c r="A472" s="288"/>
      <c r="B472" s="176" t="s">
        <v>1541</v>
      </c>
      <c r="C472" s="176" t="s">
        <v>1542</v>
      </c>
      <c r="D472" s="176" t="s">
        <v>818</v>
      </c>
      <c r="E472" s="170" t="s">
        <v>701</v>
      </c>
      <c r="F472" s="177" t="s">
        <v>932</v>
      </c>
      <c r="G472" s="176" t="s">
        <v>703</v>
      </c>
      <c r="H472" s="178" t="s">
        <v>130</v>
      </c>
    </row>
    <row r="473" spans="1:8" ht="15.75" customHeight="1">
      <c r="A473" s="288"/>
      <c r="B473" s="173" t="s">
        <v>1543</v>
      </c>
      <c r="C473" s="173" t="s">
        <v>1544</v>
      </c>
      <c r="D473" s="173" t="s">
        <v>818</v>
      </c>
      <c r="E473" s="170" t="s">
        <v>701</v>
      </c>
      <c r="F473" s="174" t="s">
        <v>932</v>
      </c>
      <c r="G473" s="173" t="s">
        <v>726</v>
      </c>
      <c r="H473" s="175" t="s">
        <v>130</v>
      </c>
    </row>
    <row r="474" spans="1:8" ht="15.75" customHeight="1">
      <c r="A474" s="288"/>
      <c r="B474" s="176" t="s">
        <v>1545</v>
      </c>
      <c r="C474" s="176" t="s">
        <v>1546</v>
      </c>
      <c r="D474" s="176" t="s">
        <v>818</v>
      </c>
      <c r="E474" s="170" t="s">
        <v>701</v>
      </c>
      <c r="F474" s="177" t="s">
        <v>932</v>
      </c>
      <c r="G474" s="176" t="s">
        <v>703</v>
      </c>
      <c r="H474" s="178" t="s">
        <v>130</v>
      </c>
    </row>
    <row r="475" spans="1:8" ht="15.75" customHeight="1">
      <c r="A475" s="288"/>
      <c r="B475" s="173" t="s">
        <v>1547</v>
      </c>
      <c r="C475" s="173" t="s">
        <v>1548</v>
      </c>
      <c r="D475" s="173" t="s">
        <v>818</v>
      </c>
      <c r="E475" s="170" t="s">
        <v>701</v>
      </c>
      <c r="F475" s="174" t="s">
        <v>932</v>
      </c>
      <c r="G475" s="173" t="s">
        <v>709</v>
      </c>
      <c r="H475" s="175" t="s">
        <v>130</v>
      </c>
    </row>
    <row r="476" spans="1:8" ht="15.75" customHeight="1">
      <c r="A476" s="288"/>
      <c r="B476" s="176" t="s">
        <v>1549</v>
      </c>
      <c r="C476" s="176" t="s">
        <v>1550</v>
      </c>
      <c r="D476" s="176" t="s">
        <v>818</v>
      </c>
      <c r="E476" s="170" t="s">
        <v>701</v>
      </c>
      <c r="F476" s="177" t="s">
        <v>932</v>
      </c>
      <c r="G476" s="176" t="s">
        <v>726</v>
      </c>
      <c r="H476" s="178" t="s">
        <v>130</v>
      </c>
    </row>
    <row r="477" spans="1:8" ht="15.75" customHeight="1">
      <c r="A477" s="288"/>
      <c r="B477" s="173" t="s">
        <v>1551</v>
      </c>
      <c r="C477" s="173" t="s">
        <v>1552</v>
      </c>
      <c r="D477" s="173" t="s">
        <v>818</v>
      </c>
      <c r="E477" s="170" t="s">
        <v>701</v>
      </c>
      <c r="F477" s="174" t="s">
        <v>932</v>
      </c>
      <c r="G477" s="173" t="s">
        <v>726</v>
      </c>
      <c r="H477" s="175" t="s">
        <v>130</v>
      </c>
    </row>
    <row r="478" spans="1:8" ht="15.75" customHeight="1">
      <c r="A478" s="288"/>
      <c r="B478" s="176" t="s">
        <v>1553</v>
      </c>
      <c r="C478" s="176" t="s">
        <v>1554</v>
      </c>
      <c r="D478" s="176" t="s">
        <v>818</v>
      </c>
      <c r="E478" s="170" t="s">
        <v>701</v>
      </c>
      <c r="F478" s="177" t="s">
        <v>932</v>
      </c>
      <c r="G478" s="176" t="s">
        <v>1383</v>
      </c>
      <c r="H478" s="178" t="s">
        <v>130</v>
      </c>
    </row>
    <row r="479" spans="1:8" ht="15.75" customHeight="1">
      <c r="A479" s="288"/>
      <c r="B479" s="173" t="s">
        <v>1555</v>
      </c>
      <c r="C479" s="173" t="s">
        <v>1556</v>
      </c>
      <c r="D479" s="173" t="s">
        <v>818</v>
      </c>
      <c r="E479" s="170" t="s">
        <v>701</v>
      </c>
      <c r="F479" s="174" t="s">
        <v>932</v>
      </c>
      <c r="G479" s="173" t="s">
        <v>703</v>
      </c>
      <c r="H479" s="175" t="s">
        <v>130</v>
      </c>
    </row>
    <row r="480" spans="1:8" ht="15.75" customHeight="1">
      <c r="A480" s="288"/>
      <c r="B480" s="176" t="s">
        <v>1557</v>
      </c>
      <c r="C480" s="176" t="s">
        <v>1558</v>
      </c>
      <c r="D480" s="176" t="s">
        <v>818</v>
      </c>
      <c r="E480" s="170" t="s">
        <v>701</v>
      </c>
      <c r="F480" s="177" t="s">
        <v>932</v>
      </c>
      <c r="G480" s="176" t="s">
        <v>726</v>
      </c>
      <c r="H480" s="178" t="s">
        <v>130</v>
      </c>
    </row>
    <row r="481" spans="1:8" ht="15.75" customHeight="1">
      <c r="A481" s="288"/>
      <c r="B481" s="173" t="s">
        <v>1559</v>
      </c>
      <c r="C481" s="173" t="s">
        <v>1560</v>
      </c>
      <c r="D481" s="173" t="s">
        <v>818</v>
      </c>
      <c r="E481" s="170" t="s">
        <v>701</v>
      </c>
      <c r="F481" s="174" t="s">
        <v>932</v>
      </c>
      <c r="G481" s="173" t="s">
        <v>706</v>
      </c>
      <c r="H481" s="175" t="s">
        <v>130</v>
      </c>
    </row>
    <row r="482" spans="1:8" ht="15.75" customHeight="1">
      <c r="A482" s="288"/>
      <c r="B482" s="176" t="s">
        <v>1561</v>
      </c>
      <c r="C482" s="176" t="s">
        <v>1562</v>
      </c>
      <c r="D482" s="176" t="s">
        <v>818</v>
      </c>
      <c r="E482" s="170" t="s">
        <v>701</v>
      </c>
      <c r="F482" s="177" t="s">
        <v>932</v>
      </c>
      <c r="G482" s="176" t="s">
        <v>703</v>
      </c>
      <c r="H482" s="178" t="s">
        <v>130</v>
      </c>
    </row>
    <row r="483" spans="1:8" ht="15.75" customHeight="1">
      <c r="A483" s="288"/>
      <c r="B483" s="173" t="s">
        <v>1563</v>
      </c>
      <c r="C483" s="173" t="s">
        <v>1564</v>
      </c>
      <c r="D483" s="173" t="s">
        <v>818</v>
      </c>
      <c r="E483" s="170" t="s">
        <v>701</v>
      </c>
      <c r="F483" s="174" t="s">
        <v>932</v>
      </c>
      <c r="G483" s="173" t="s">
        <v>709</v>
      </c>
      <c r="H483" s="175" t="s">
        <v>130</v>
      </c>
    </row>
    <row r="484" spans="1:8" ht="15.75" customHeight="1">
      <c r="A484" s="288"/>
      <c r="B484" s="176" t="s">
        <v>1565</v>
      </c>
      <c r="C484" s="176" t="s">
        <v>1566</v>
      </c>
      <c r="D484" s="176" t="s">
        <v>818</v>
      </c>
      <c r="E484" s="170" t="s">
        <v>701</v>
      </c>
      <c r="F484" s="177" t="s">
        <v>932</v>
      </c>
      <c r="G484" s="176" t="s">
        <v>703</v>
      </c>
      <c r="H484" s="178" t="s">
        <v>130</v>
      </c>
    </row>
    <row r="485" spans="1:8" ht="15.75" customHeight="1">
      <c r="A485" s="288"/>
      <c r="B485" s="173" t="s">
        <v>1567</v>
      </c>
      <c r="C485" s="173" t="s">
        <v>1568</v>
      </c>
      <c r="D485" s="173" t="s">
        <v>818</v>
      </c>
      <c r="E485" s="170" t="s">
        <v>701</v>
      </c>
      <c r="F485" s="174" t="s">
        <v>932</v>
      </c>
      <c r="G485" s="173" t="s">
        <v>703</v>
      </c>
      <c r="H485" s="175" t="s">
        <v>130</v>
      </c>
    </row>
    <row r="486" spans="1:8" ht="15.75" customHeight="1">
      <c r="A486" s="288"/>
      <c r="B486" s="176" t="s">
        <v>1569</v>
      </c>
      <c r="C486" s="176" t="s">
        <v>1570</v>
      </c>
      <c r="D486" s="176" t="s">
        <v>818</v>
      </c>
      <c r="E486" s="170" t="s">
        <v>701</v>
      </c>
      <c r="F486" s="177" t="s">
        <v>932</v>
      </c>
      <c r="G486" s="176" t="s">
        <v>726</v>
      </c>
      <c r="H486" s="178" t="s">
        <v>130</v>
      </c>
    </row>
    <row r="487" spans="1:8" ht="15.75" customHeight="1">
      <c r="A487" s="288"/>
      <c r="B487" s="173" t="s">
        <v>1571</v>
      </c>
      <c r="C487" s="173" t="s">
        <v>1572</v>
      </c>
      <c r="D487" s="173" t="s">
        <v>818</v>
      </c>
      <c r="E487" s="170" t="s">
        <v>701</v>
      </c>
      <c r="F487" s="174" t="s">
        <v>932</v>
      </c>
      <c r="G487" s="173" t="s">
        <v>703</v>
      </c>
      <c r="H487" s="175" t="s">
        <v>130</v>
      </c>
    </row>
    <row r="488" spans="1:8" ht="15.75" customHeight="1">
      <c r="A488" s="288"/>
      <c r="B488" s="176" t="s">
        <v>1573</v>
      </c>
      <c r="C488" s="176" t="s">
        <v>1574</v>
      </c>
      <c r="D488" s="176" t="s">
        <v>818</v>
      </c>
      <c r="E488" s="170" t="s">
        <v>701</v>
      </c>
      <c r="F488" s="177" t="s">
        <v>932</v>
      </c>
      <c r="G488" s="176" t="s">
        <v>726</v>
      </c>
      <c r="H488" s="178" t="s">
        <v>130</v>
      </c>
    </row>
    <row r="489" spans="1:8" ht="15.75" customHeight="1">
      <c r="A489" s="288"/>
      <c r="B489" s="173" t="s">
        <v>1575</v>
      </c>
      <c r="C489" s="173" t="s">
        <v>1576</v>
      </c>
      <c r="D489" s="173" t="s">
        <v>818</v>
      </c>
      <c r="E489" s="170" t="s">
        <v>701</v>
      </c>
      <c r="F489" s="174" t="s">
        <v>932</v>
      </c>
      <c r="G489" s="173" t="s">
        <v>703</v>
      </c>
      <c r="H489" s="175" t="s">
        <v>130</v>
      </c>
    </row>
    <row r="490" spans="1:8" ht="15.75" customHeight="1">
      <c r="A490" s="288"/>
      <c r="B490" s="176" t="s">
        <v>1577</v>
      </c>
      <c r="C490" s="176" t="s">
        <v>1578</v>
      </c>
      <c r="D490" s="176" t="s">
        <v>818</v>
      </c>
      <c r="E490" s="170" t="s">
        <v>701</v>
      </c>
      <c r="F490" s="177" t="s">
        <v>932</v>
      </c>
      <c r="G490" s="176" t="s">
        <v>703</v>
      </c>
      <c r="H490" s="178" t="s">
        <v>130</v>
      </c>
    </row>
    <row r="491" spans="1:8" ht="15.75" customHeight="1">
      <c r="A491" s="288"/>
      <c r="B491" s="173" t="s">
        <v>1579</v>
      </c>
      <c r="C491" s="173" t="s">
        <v>1580</v>
      </c>
      <c r="D491" s="173" t="s">
        <v>818</v>
      </c>
      <c r="E491" s="170" t="s">
        <v>701</v>
      </c>
      <c r="F491" s="174" t="s">
        <v>932</v>
      </c>
      <c r="G491" s="173" t="s">
        <v>726</v>
      </c>
      <c r="H491" s="175" t="s">
        <v>130</v>
      </c>
    </row>
    <row r="492" spans="1:8" ht="15.75" customHeight="1">
      <c r="A492" s="288"/>
      <c r="B492" s="176" t="s">
        <v>1581</v>
      </c>
      <c r="C492" s="176" t="s">
        <v>1582</v>
      </c>
      <c r="D492" s="176" t="s">
        <v>818</v>
      </c>
      <c r="E492" s="170" t="s">
        <v>701</v>
      </c>
      <c r="F492" s="177" t="s">
        <v>932</v>
      </c>
      <c r="G492" s="176" t="s">
        <v>709</v>
      </c>
      <c r="H492" s="178" t="s">
        <v>130</v>
      </c>
    </row>
    <row r="493" spans="1:8" ht="15.75" customHeight="1">
      <c r="A493" s="288"/>
      <c r="B493" s="173" t="s">
        <v>1583</v>
      </c>
      <c r="C493" s="173" t="s">
        <v>1584</v>
      </c>
      <c r="D493" s="173" t="s">
        <v>818</v>
      </c>
      <c r="E493" s="170" t="s">
        <v>701</v>
      </c>
      <c r="F493" s="174" t="s">
        <v>932</v>
      </c>
      <c r="G493" s="173" t="s">
        <v>703</v>
      </c>
      <c r="H493" s="175" t="s">
        <v>130</v>
      </c>
    </row>
    <row r="494" spans="1:8" ht="15.75" customHeight="1">
      <c r="A494" s="288"/>
      <c r="B494" s="176" t="s">
        <v>1585</v>
      </c>
      <c r="C494" s="176" t="s">
        <v>1586</v>
      </c>
      <c r="D494" s="176" t="s">
        <v>818</v>
      </c>
      <c r="E494" s="170" t="s">
        <v>701</v>
      </c>
      <c r="F494" s="177" t="s">
        <v>932</v>
      </c>
      <c r="G494" s="176" t="s">
        <v>709</v>
      </c>
      <c r="H494" s="178" t="s">
        <v>130</v>
      </c>
    </row>
    <row r="495" spans="1:8" ht="15.75" customHeight="1">
      <c r="A495" s="288"/>
      <c r="B495" s="173" t="s">
        <v>1587</v>
      </c>
      <c r="C495" s="173" t="s">
        <v>1588</v>
      </c>
      <c r="D495" s="173" t="s">
        <v>818</v>
      </c>
      <c r="E495" s="170" t="s">
        <v>701</v>
      </c>
      <c r="F495" s="174" t="s">
        <v>932</v>
      </c>
      <c r="G495" s="173" t="s">
        <v>706</v>
      </c>
      <c r="H495" s="175" t="s">
        <v>1589</v>
      </c>
    </row>
    <row r="496" spans="1:8" ht="15.75" customHeight="1">
      <c r="A496" s="288"/>
      <c r="B496" s="176" t="s">
        <v>1590</v>
      </c>
      <c r="C496" s="176" t="s">
        <v>1591</v>
      </c>
      <c r="D496" s="176" t="s">
        <v>818</v>
      </c>
      <c r="E496" s="170" t="s">
        <v>701</v>
      </c>
      <c r="F496" s="177" t="s">
        <v>932</v>
      </c>
      <c r="G496" s="176" t="s">
        <v>726</v>
      </c>
      <c r="H496" s="178" t="s">
        <v>130</v>
      </c>
    </row>
    <row r="497" spans="1:8" ht="15.75" customHeight="1">
      <c r="A497" s="288"/>
      <c r="B497" s="173" t="s">
        <v>1592</v>
      </c>
      <c r="C497" s="173" t="s">
        <v>1593</v>
      </c>
      <c r="D497" s="173" t="s">
        <v>818</v>
      </c>
      <c r="E497" s="170" t="s">
        <v>701</v>
      </c>
      <c r="F497" s="174" t="s">
        <v>932</v>
      </c>
      <c r="G497" s="173" t="s">
        <v>726</v>
      </c>
      <c r="H497" s="175" t="s">
        <v>130</v>
      </c>
    </row>
    <row r="498" spans="1:8" ht="15.75" customHeight="1">
      <c r="A498" s="288"/>
      <c r="B498" s="176" t="s">
        <v>1594</v>
      </c>
      <c r="C498" s="176" t="s">
        <v>1595</v>
      </c>
      <c r="D498" s="176" t="s">
        <v>818</v>
      </c>
      <c r="E498" s="170" t="s">
        <v>701</v>
      </c>
      <c r="F498" s="177" t="s">
        <v>932</v>
      </c>
      <c r="G498" s="176" t="s">
        <v>703</v>
      </c>
      <c r="H498" s="178" t="s">
        <v>130</v>
      </c>
    </row>
    <row r="499" spans="1:8" ht="15.75" customHeight="1">
      <c r="A499" s="288"/>
      <c r="B499" s="173" t="s">
        <v>1596</v>
      </c>
      <c r="C499" s="173" t="s">
        <v>1597</v>
      </c>
      <c r="D499" s="173" t="s">
        <v>818</v>
      </c>
      <c r="E499" s="170" t="s">
        <v>701</v>
      </c>
      <c r="F499" s="174" t="s">
        <v>932</v>
      </c>
      <c r="G499" s="173" t="s">
        <v>723</v>
      </c>
      <c r="H499" s="175" t="s">
        <v>130</v>
      </c>
    </row>
    <row r="500" spans="1:8" ht="15.75" customHeight="1">
      <c r="A500" s="288"/>
      <c r="B500" s="176" t="s">
        <v>1598</v>
      </c>
      <c r="C500" s="176" t="s">
        <v>1599</v>
      </c>
      <c r="D500" s="176" t="s">
        <v>818</v>
      </c>
      <c r="E500" s="170" t="s">
        <v>701</v>
      </c>
      <c r="F500" s="177" t="s">
        <v>932</v>
      </c>
      <c r="G500" s="176" t="s">
        <v>703</v>
      </c>
      <c r="H500" s="178" t="s">
        <v>130</v>
      </c>
    </row>
    <row r="501" spans="1:8" ht="15.75" customHeight="1">
      <c r="A501" s="288"/>
      <c r="B501" s="173" t="s">
        <v>1600</v>
      </c>
      <c r="C501" s="173" t="s">
        <v>1601</v>
      </c>
      <c r="D501" s="173" t="s">
        <v>818</v>
      </c>
      <c r="E501" s="170" t="s">
        <v>701</v>
      </c>
      <c r="F501" s="174" t="s">
        <v>932</v>
      </c>
      <c r="G501" s="173" t="s">
        <v>703</v>
      </c>
      <c r="H501" s="175" t="s">
        <v>130</v>
      </c>
    </row>
    <row r="502" spans="1:8" ht="15.75" customHeight="1">
      <c r="A502" s="288"/>
      <c r="B502" s="176" t="s">
        <v>1602</v>
      </c>
      <c r="C502" s="176" t="s">
        <v>1603</v>
      </c>
      <c r="D502" s="176" t="s">
        <v>818</v>
      </c>
      <c r="E502" s="170" t="s">
        <v>701</v>
      </c>
      <c r="F502" s="177" t="s">
        <v>932</v>
      </c>
      <c r="G502" s="176" t="s">
        <v>709</v>
      </c>
      <c r="H502" s="178" t="s">
        <v>130</v>
      </c>
    </row>
    <row r="503" spans="1:8" ht="15.75" customHeight="1">
      <c r="A503" s="288"/>
      <c r="B503" s="173" t="s">
        <v>1604</v>
      </c>
      <c r="C503" s="173" t="s">
        <v>1605</v>
      </c>
      <c r="D503" s="173" t="s">
        <v>818</v>
      </c>
      <c r="E503" s="170" t="s">
        <v>701</v>
      </c>
      <c r="F503" s="174" t="s">
        <v>932</v>
      </c>
      <c r="G503" s="173" t="s">
        <v>703</v>
      </c>
      <c r="H503" s="175" t="s">
        <v>130</v>
      </c>
    </row>
    <row r="504" spans="1:8" ht="15.75" customHeight="1">
      <c r="A504" s="288"/>
      <c r="B504" s="176" t="s">
        <v>1606</v>
      </c>
      <c r="C504" s="176" t="s">
        <v>1607</v>
      </c>
      <c r="D504" s="176" t="s">
        <v>818</v>
      </c>
      <c r="E504" s="170" t="s">
        <v>701</v>
      </c>
      <c r="F504" s="177" t="s">
        <v>932</v>
      </c>
      <c r="G504" s="176" t="s">
        <v>706</v>
      </c>
      <c r="H504" s="178" t="s">
        <v>130</v>
      </c>
    </row>
    <row r="505" spans="1:8" ht="15.75" customHeight="1">
      <c r="A505" s="288"/>
      <c r="B505" s="173" t="s">
        <v>1608</v>
      </c>
      <c r="C505" s="173" t="s">
        <v>1609</v>
      </c>
      <c r="D505" s="173" t="s">
        <v>818</v>
      </c>
      <c r="E505" s="170" t="s">
        <v>701</v>
      </c>
      <c r="F505" s="174" t="s">
        <v>932</v>
      </c>
      <c r="G505" s="173" t="s">
        <v>706</v>
      </c>
      <c r="H505" s="175" t="s">
        <v>130</v>
      </c>
    </row>
    <row r="506" spans="1:8" ht="15.75" customHeight="1">
      <c r="A506" s="288"/>
      <c r="B506" s="176" t="s">
        <v>1610</v>
      </c>
      <c r="C506" s="176" t="s">
        <v>1611</v>
      </c>
      <c r="D506" s="176" t="s">
        <v>818</v>
      </c>
      <c r="E506" s="170" t="s">
        <v>701</v>
      </c>
      <c r="F506" s="177" t="s">
        <v>932</v>
      </c>
      <c r="G506" s="176" t="s">
        <v>726</v>
      </c>
      <c r="H506" s="178" t="s">
        <v>130</v>
      </c>
    </row>
    <row r="507" spans="1:8" ht="15.75" customHeight="1">
      <c r="A507" s="288"/>
      <c r="B507" s="173" t="s">
        <v>1612</v>
      </c>
      <c r="C507" s="173" t="s">
        <v>1613</v>
      </c>
      <c r="D507" s="173" t="s">
        <v>818</v>
      </c>
      <c r="E507" s="170" t="s">
        <v>701</v>
      </c>
      <c r="F507" s="174" t="s">
        <v>932</v>
      </c>
      <c r="G507" s="173" t="s">
        <v>709</v>
      </c>
      <c r="H507" s="175" t="s">
        <v>130</v>
      </c>
    </row>
    <row r="508" spans="1:8" ht="15.75" customHeight="1">
      <c r="A508" s="288"/>
      <c r="B508" s="176" t="s">
        <v>1614</v>
      </c>
      <c r="C508" s="176" t="s">
        <v>1615</v>
      </c>
      <c r="D508" s="176" t="s">
        <v>818</v>
      </c>
      <c r="E508" s="170" t="s">
        <v>701</v>
      </c>
      <c r="F508" s="177" t="s">
        <v>932</v>
      </c>
      <c r="G508" s="176" t="s">
        <v>703</v>
      </c>
      <c r="H508" s="178" t="s">
        <v>130</v>
      </c>
    </row>
    <row r="509" spans="1:8" ht="15.75" customHeight="1">
      <c r="A509" s="288"/>
      <c r="B509" s="173" t="s">
        <v>1616</v>
      </c>
      <c r="C509" s="173" t="s">
        <v>1617</v>
      </c>
      <c r="D509" s="173" t="s">
        <v>818</v>
      </c>
      <c r="E509" s="170" t="s">
        <v>701</v>
      </c>
      <c r="F509" s="174" t="s">
        <v>932</v>
      </c>
      <c r="G509" s="173" t="s">
        <v>703</v>
      </c>
      <c r="H509" s="175" t="s">
        <v>130</v>
      </c>
    </row>
    <row r="510" spans="1:8" ht="15.75" customHeight="1">
      <c r="A510" s="288"/>
      <c r="B510" s="176" t="s">
        <v>1618</v>
      </c>
      <c r="C510" s="176" t="s">
        <v>1619</v>
      </c>
      <c r="D510" s="176" t="s">
        <v>818</v>
      </c>
      <c r="E510" s="170" t="s">
        <v>701</v>
      </c>
      <c r="F510" s="177" t="s">
        <v>932</v>
      </c>
      <c r="G510" s="176" t="s">
        <v>709</v>
      </c>
      <c r="H510" s="178" t="s">
        <v>130</v>
      </c>
    </row>
    <row r="511" spans="1:8" ht="15.75" customHeight="1">
      <c r="A511" s="288"/>
      <c r="B511" s="173" t="s">
        <v>1620</v>
      </c>
      <c r="C511" s="173" t="s">
        <v>1621</v>
      </c>
      <c r="D511" s="173" t="s">
        <v>818</v>
      </c>
      <c r="E511" s="170" t="s">
        <v>701</v>
      </c>
      <c r="F511" s="174" t="s">
        <v>932</v>
      </c>
      <c r="G511" s="173" t="s">
        <v>703</v>
      </c>
      <c r="H511" s="175" t="s">
        <v>130</v>
      </c>
    </row>
    <row r="512" spans="1:8" ht="15.75" customHeight="1">
      <c r="A512" s="288"/>
      <c r="B512" s="176" t="s">
        <v>1622</v>
      </c>
      <c r="C512" s="176" t="s">
        <v>1623</v>
      </c>
      <c r="D512" s="176" t="s">
        <v>818</v>
      </c>
      <c r="E512" s="170" t="s">
        <v>701</v>
      </c>
      <c r="F512" s="177" t="s">
        <v>932</v>
      </c>
      <c r="G512" s="176" t="s">
        <v>703</v>
      </c>
      <c r="H512" s="178" t="s">
        <v>130</v>
      </c>
    </row>
    <row r="513" spans="1:8" ht="15.75" customHeight="1">
      <c r="A513" s="288"/>
      <c r="B513" s="173" t="s">
        <v>1624</v>
      </c>
      <c r="C513" s="173" t="s">
        <v>1625</v>
      </c>
      <c r="D513" s="173" t="s">
        <v>818</v>
      </c>
      <c r="E513" s="170" t="s">
        <v>701</v>
      </c>
      <c r="F513" s="174" t="s">
        <v>932</v>
      </c>
      <c r="G513" s="173" t="s">
        <v>706</v>
      </c>
      <c r="H513" s="175" t="s">
        <v>130</v>
      </c>
    </row>
    <row r="514" spans="1:8" ht="15.75" customHeight="1">
      <c r="A514" s="288"/>
      <c r="B514" s="176" t="s">
        <v>1626</v>
      </c>
      <c r="C514" s="176" t="s">
        <v>1627</v>
      </c>
      <c r="D514" s="176" t="s">
        <v>818</v>
      </c>
      <c r="E514" s="170" t="s">
        <v>701</v>
      </c>
      <c r="F514" s="177" t="s">
        <v>932</v>
      </c>
      <c r="G514" s="176" t="s">
        <v>706</v>
      </c>
      <c r="H514" s="178" t="s">
        <v>130</v>
      </c>
    </row>
    <row r="515" spans="1:8" ht="15.75" customHeight="1">
      <c r="A515" s="288"/>
      <c r="B515" s="173" t="s">
        <v>1628</v>
      </c>
      <c r="C515" s="173" t="s">
        <v>1629</v>
      </c>
      <c r="D515" s="173" t="s">
        <v>818</v>
      </c>
      <c r="E515" s="170" t="s">
        <v>701</v>
      </c>
      <c r="F515" s="174" t="s">
        <v>932</v>
      </c>
      <c r="G515" s="173" t="s">
        <v>703</v>
      </c>
      <c r="H515" s="175" t="s">
        <v>130</v>
      </c>
    </row>
    <row r="516" spans="1:8" ht="15.75" customHeight="1">
      <c r="A516" s="288"/>
      <c r="B516" s="176" t="s">
        <v>1630</v>
      </c>
      <c r="C516" s="176" t="s">
        <v>1631</v>
      </c>
      <c r="D516" s="176" t="s">
        <v>818</v>
      </c>
      <c r="E516" s="170" t="s">
        <v>701</v>
      </c>
      <c r="F516" s="177" t="s">
        <v>932</v>
      </c>
      <c r="G516" s="176" t="s">
        <v>709</v>
      </c>
      <c r="H516" s="178" t="s">
        <v>130</v>
      </c>
    </row>
    <row r="517" spans="1:8" ht="15.75" customHeight="1">
      <c r="A517" s="288"/>
      <c r="B517" s="173" t="s">
        <v>1632</v>
      </c>
      <c r="C517" s="173" t="s">
        <v>1633</v>
      </c>
      <c r="D517" s="173" t="s">
        <v>818</v>
      </c>
      <c r="E517" s="170" t="s">
        <v>701</v>
      </c>
      <c r="F517" s="174" t="s">
        <v>932</v>
      </c>
      <c r="G517" s="173" t="s">
        <v>703</v>
      </c>
      <c r="H517" s="175" t="s">
        <v>130</v>
      </c>
    </row>
    <row r="518" spans="1:8" ht="15.75" customHeight="1">
      <c r="A518" s="288"/>
      <c r="B518" s="176" t="s">
        <v>1634</v>
      </c>
      <c r="C518" s="176" t="s">
        <v>1635</v>
      </c>
      <c r="D518" s="176" t="s">
        <v>818</v>
      </c>
      <c r="E518" s="170" t="s">
        <v>701</v>
      </c>
      <c r="F518" s="177" t="s">
        <v>932</v>
      </c>
      <c r="G518" s="176" t="s">
        <v>703</v>
      </c>
      <c r="H518" s="178" t="s">
        <v>130</v>
      </c>
    </row>
    <row r="519" spans="1:8" ht="15.75" customHeight="1">
      <c r="A519" s="288"/>
      <c r="B519" s="173" t="s">
        <v>1636</v>
      </c>
      <c r="C519" s="173" t="s">
        <v>1637</v>
      </c>
      <c r="D519" s="173" t="s">
        <v>818</v>
      </c>
      <c r="E519" s="170" t="s">
        <v>701</v>
      </c>
      <c r="F519" s="174" t="s">
        <v>932</v>
      </c>
      <c r="G519" s="173" t="s">
        <v>726</v>
      </c>
      <c r="H519" s="175" t="s">
        <v>130</v>
      </c>
    </row>
    <row r="520" spans="1:8" ht="15.75" customHeight="1">
      <c r="A520" s="288"/>
      <c r="B520" s="176" t="s">
        <v>1638</v>
      </c>
      <c r="C520" s="176" t="s">
        <v>1639</v>
      </c>
      <c r="D520" s="176" t="s">
        <v>818</v>
      </c>
      <c r="E520" s="170" t="s">
        <v>701</v>
      </c>
      <c r="F520" s="177" t="s">
        <v>932</v>
      </c>
      <c r="G520" s="176" t="s">
        <v>709</v>
      </c>
      <c r="H520" s="178" t="s">
        <v>130</v>
      </c>
    </row>
    <row r="521" spans="1:8" ht="15.75" customHeight="1">
      <c r="A521" s="288"/>
      <c r="B521" s="173" t="s">
        <v>1640</v>
      </c>
      <c r="C521" s="173" t="s">
        <v>1641</v>
      </c>
      <c r="D521" s="173" t="s">
        <v>818</v>
      </c>
      <c r="E521" s="170" t="s">
        <v>701</v>
      </c>
      <c r="F521" s="174" t="s">
        <v>932</v>
      </c>
      <c r="G521" s="173" t="s">
        <v>709</v>
      </c>
      <c r="H521" s="175" t="s">
        <v>130</v>
      </c>
    </row>
    <row r="522" spans="1:8" ht="15.75" customHeight="1">
      <c r="A522" s="288"/>
      <c r="B522" s="176" t="s">
        <v>1642</v>
      </c>
      <c r="C522" s="176" t="s">
        <v>1643</v>
      </c>
      <c r="D522" s="176" t="s">
        <v>818</v>
      </c>
      <c r="E522" s="170" t="s">
        <v>701</v>
      </c>
      <c r="F522" s="177" t="s">
        <v>932</v>
      </c>
      <c r="G522" s="176" t="s">
        <v>726</v>
      </c>
      <c r="H522" s="178" t="s">
        <v>130</v>
      </c>
    </row>
    <row r="523" spans="1:8" ht="15.75" customHeight="1">
      <c r="A523" s="288"/>
      <c r="B523" s="173" t="s">
        <v>1644</v>
      </c>
      <c r="C523" s="173" t="s">
        <v>1645</v>
      </c>
      <c r="D523" s="173" t="s">
        <v>818</v>
      </c>
      <c r="E523" s="170" t="s">
        <v>701</v>
      </c>
      <c r="F523" s="174" t="s">
        <v>932</v>
      </c>
      <c r="G523" s="173" t="s">
        <v>709</v>
      </c>
      <c r="H523" s="175" t="s">
        <v>130</v>
      </c>
    </row>
    <row r="524" spans="1:8" ht="15.75" customHeight="1">
      <c r="A524" s="288"/>
      <c r="B524" s="176" t="s">
        <v>1646</v>
      </c>
      <c r="C524" s="176" t="s">
        <v>1647</v>
      </c>
      <c r="D524" s="176" t="s">
        <v>818</v>
      </c>
      <c r="E524" s="170" t="s">
        <v>701</v>
      </c>
      <c r="F524" s="177" t="s">
        <v>932</v>
      </c>
      <c r="G524" s="176" t="s">
        <v>709</v>
      </c>
      <c r="H524" s="178" t="s">
        <v>130</v>
      </c>
    </row>
    <row r="525" spans="1:8" ht="15.75" customHeight="1">
      <c r="A525" s="288"/>
      <c r="B525" s="173" t="s">
        <v>1648</v>
      </c>
      <c r="C525" s="173" t="s">
        <v>1649</v>
      </c>
      <c r="D525" s="173" t="s">
        <v>818</v>
      </c>
      <c r="E525" s="170" t="s">
        <v>701</v>
      </c>
      <c r="F525" s="174" t="s">
        <v>932</v>
      </c>
      <c r="G525" s="173" t="s">
        <v>709</v>
      </c>
      <c r="H525" s="175" t="s">
        <v>130</v>
      </c>
    </row>
    <row r="526" spans="1:8" ht="15.75" customHeight="1">
      <c r="A526" s="288"/>
      <c r="B526" s="176" t="s">
        <v>1650</v>
      </c>
      <c r="C526" s="176" t="s">
        <v>1651</v>
      </c>
      <c r="D526" s="176" t="s">
        <v>818</v>
      </c>
      <c r="E526" s="170" t="s">
        <v>701</v>
      </c>
      <c r="F526" s="177" t="s">
        <v>932</v>
      </c>
      <c r="G526" s="176" t="s">
        <v>703</v>
      </c>
      <c r="H526" s="178" t="s">
        <v>130</v>
      </c>
    </row>
    <row r="527" spans="1:8" ht="15.75" customHeight="1">
      <c r="A527" s="288"/>
      <c r="B527" s="173" t="s">
        <v>1652</v>
      </c>
      <c r="C527" s="173" t="s">
        <v>1653</v>
      </c>
      <c r="D527" s="173" t="s">
        <v>818</v>
      </c>
      <c r="E527" s="170" t="s">
        <v>701</v>
      </c>
      <c r="F527" s="174" t="s">
        <v>932</v>
      </c>
      <c r="G527" s="173" t="s">
        <v>709</v>
      </c>
      <c r="H527" s="175" t="s">
        <v>130</v>
      </c>
    </row>
    <row r="528" spans="1:8" ht="15.75" customHeight="1">
      <c r="A528" s="288"/>
      <c r="B528" s="176" t="s">
        <v>1654</v>
      </c>
      <c r="C528" s="176" t="s">
        <v>1655</v>
      </c>
      <c r="D528" s="176" t="s">
        <v>818</v>
      </c>
      <c r="E528" s="170" t="s">
        <v>701</v>
      </c>
      <c r="F528" s="177" t="s">
        <v>932</v>
      </c>
      <c r="G528" s="176" t="s">
        <v>1656</v>
      </c>
      <c r="H528" s="178" t="s">
        <v>130</v>
      </c>
    </row>
    <row r="529" spans="1:8" ht="15.75" customHeight="1">
      <c r="A529" s="288"/>
      <c r="B529" s="173" t="s">
        <v>1657</v>
      </c>
      <c r="C529" s="173" t="s">
        <v>1658</v>
      </c>
      <c r="D529" s="173" t="s">
        <v>818</v>
      </c>
      <c r="E529" s="170" t="s">
        <v>701</v>
      </c>
      <c r="F529" s="174" t="s">
        <v>932</v>
      </c>
      <c r="G529" s="173" t="s">
        <v>723</v>
      </c>
      <c r="H529" s="175" t="s">
        <v>130</v>
      </c>
    </row>
    <row r="530" spans="1:8" ht="15.75" customHeight="1">
      <c r="A530" s="288"/>
      <c r="B530" s="176" t="s">
        <v>1659</v>
      </c>
      <c r="C530" s="176" t="s">
        <v>1660</v>
      </c>
      <c r="D530" s="176" t="s">
        <v>818</v>
      </c>
      <c r="E530" s="170" t="s">
        <v>701</v>
      </c>
      <c r="F530" s="177" t="s">
        <v>932</v>
      </c>
      <c r="G530" s="176" t="s">
        <v>703</v>
      </c>
      <c r="H530" s="178" t="s">
        <v>130</v>
      </c>
    </row>
    <row r="531" spans="1:8" ht="15.75" customHeight="1">
      <c r="A531" s="288"/>
      <c r="B531" s="173" t="s">
        <v>1661</v>
      </c>
      <c r="C531" s="173" t="s">
        <v>1662</v>
      </c>
      <c r="D531" s="173" t="s">
        <v>931</v>
      </c>
      <c r="E531" s="170" t="s">
        <v>701</v>
      </c>
      <c r="F531" s="174" t="s">
        <v>932</v>
      </c>
      <c r="G531" s="173" t="s">
        <v>706</v>
      </c>
      <c r="H531" s="175" t="s">
        <v>130</v>
      </c>
    </row>
    <row r="532" spans="1:8" ht="15.75" customHeight="1">
      <c r="A532" s="288"/>
      <c r="B532" s="176" t="s">
        <v>1663</v>
      </c>
      <c r="C532" s="176" t="s">
        <v>1664</v>
      </c>
      <c r="D532" s="176" t="s">
        <v>931</v>
      </c>
      <c r="E532" s="170" t="s">
        <v>701</v>
      </c>
      <c r="F532" s="177" t="s">
        <v>932</v>
      </c>
      <c r="G532" s="176" t="s">
        <v>703</v>
      </c>
      <c r="H532" s="178" t="s">
        <v>130</v>
      </c>
    </row>
    <row r="533" spans="1:8" ht="15.75" customHeight="1">
      <c r="A533" s="288"/>
      <c r="B533" s="173" t="s">
        <v>1665</v>
      </c>
      <c r="C533" s="173" t="s">
        <v>1666</v>
      </c>
      <c r="D533" s="173" t="s">
        <v>931</v>
      </c>
      <c r="E533" s="170" t="s">
        <v>701</v>
      </c>
      <c r="F533" s="174" t="s">
        <v>932</v>
      </c>
      <c r="G533" s="173" t="s">
        <v>703</v>
      </c>
      <c r="H533" s="175" t="s">
        <v>130</v>
      </c>
    </row>
    <row r="534" spans="1:8" ht="15.75" customHeight="1">
      <c r="A534" s="288"/>
      <c r="B534" s="176" t="s">
        <v>1667</v>
      </c>
      <c r="C534" s="176" t="s">
        <v>1668</v>
      </c>
      <c r="D534" s="176" t="s">
        <v>931</v>
      </c>
      <c r="E534" s="170" t="s">
        <v>701</v>
      </c>
      <c r="F534" s="177" t="s">
        <v>932</v>
      </c>
      <c r="G534" s="176" t="s">
        <v>703</v>
      </c>
      <c r="H534" s="178" t="s">
        <v>130</v>
      </c>
    </row>
    <row r="535" spans="1:8" ht="15.75" customHeight="1">
      <c r="A535" s="289"/>
      <c r="B535" s="173" t="s">
        <v>1669</v>
      </c>
      <c r="C535" s="173" t="s">
        <v>1670</v>
      </c>
      <c r="D535" s="173" t="s">
        <v>931</v>
      </c>
      <c r="E535" s="170" t="s">
        <v>701</v>
      </c>
      <c r="F535" s="174" t="s">
        <v>932</v>
      </c>
      <c r="G535" s="173" t="s">
        <v>709</v>
      </c>
      <c r="H535" s="175" t="s">
        <v>130</v>
      </c>
    </row>
    <row r="536" spans="1:8" ht="15.75" customHeight="1">
      <c r="A536" s="287" t="s">
        <v>1671</v>
      </c>
      <c r="B536" s="176" t="s">
        <v>1672</v>
      </c>
      <c r="C536" s="176" t="s">
        <v>1673</v>
      </c>
      <c r="D536" s="176" t="s">
        <v>818</v>
      </c>
      <c r="E536" s="170" t="s">
        <v>701</v>
      </c>
      <c r="F536" s="177" t="s">
        <v>702</v>
      </c>
      <c r="G536" s="176" t="s">
        <v>726</v>
      </c>
      <c r="H536" s="178" t="s">
        <v>130</v>
      </c>
    </row>
    <row r="537" spans="1:8" ht="15.75" customHeight="1">
      <c r="A537" s="288"/>
      <c r="B537" s="173" t="s">
        <v>1674</v>
      </c>
      <c r="C537" s="173" t="s">
        <v>1675</v>
      </c>
      <c r="D537" s="173" t="s">
        <v>818</v>
      </c>
      <c r="E537" s="170" t="s">
        <v>701</v>
      </c>
      <c r="F537" s="174" t="s">
        <v>702</v>
      </c>
      <c r="G537" s="173" t="s">
        <v>709</v>
      </c>
      <c r="H537" s="175" t="s">
        <v>130</v>
      </c>
    </row>
    <row r="538" spans="1:8" ht="15.75" customHeight="1">
      <c r="A538" s="288"/>
      <c r="B538" s="176" t="s">
        <v>1676</v>
      </c>
      <c r="C538" s="176" t="s">
        <v>1677</v>
      </c>
      <c r="D538" s="176" t="s">
        <v>818</v>
      </c>
      <c r="E538" s="170" t="s">
        <v>701</v>
      </c>
      <c r="F538" s="177" t="s">
        <v>702</v>
      </c>
      <c r="G538" s="176" t="s">
        <v>709</v>
      </c>
      <c r="H538" s="178" t="s">
        <v>130</v>
      </c>
    </row>
    <row r="539" spans="1:8" ht="15.75" customHeight="1">
      <c r="A539" s="288"/>
      <c r="B539" s="173" t="s">
        <v>1678</v>
      </c>
      <c r="C539" s="179" t="s">
        <v>1679</v>
      </c>
      <c r="D539" s="173" t="s">
        <v>818</v>
      </c>
      <c r="E539" s="170" t="s">
        <v>701</v>
      </c>
      <c r="F539" s="174" t="s">
        <v>702</v>
      </c>
      <c r="G539" s="173" t="s">
        <v>726</v>
      </c>
      <c r="H539" s="175" t="s">
        <v>130</v>
      </c>
    </row>
    <row r="540" spans="1:8" ht="15.75" customHeight="1">
      <c r="A540" s="288"/>
      <c r="B540" s="176" t="s">
        <v>1680</v>
      </c>
      <c r="C540" s="176" t="s">
        <v>1681</v>
      </c>
      <c r="D540" s="176" t="s">
        <v>818</v>
      </c>
      <c r="E540" s="170" t="s">
        <v>701</v>
      </c>
      <c r="F540" s="177" t="s">
        <v>702</v>
      </c>
      <c r="G540" s="176" t="s">
        <v>703</v>
      </c>
      <c r="H540" s="178" t="s">
        <v>130</v>
      </c>
    </row>
    <row r="541" spans="1:8" ht="15.75" customHeight="1">
      <c r="A541" s="288"/>
      <c r="B541" s="173" t="s">
        <v>1682</v>
      </c>
      <c r="C541" s="173" t="s">
        <v>1683</v>
      </c>
      <c r="D541" s="173" t="s">
        <v>818</v>
      </c>
      <c r="E541" s="170" t="s">
        <v>701</v>
      </c>
      <c r="F541" s="174" t="s">
        <v>702</v>
      </c>
      <c r="G541" s="173" t="s">
        <v>706</v>
      </c>
      <c r="H541" s="175" t="s">
        <v>130</v>
      </c>
    </row>
    <row r="542" spans="1:8" ht="15.75" customHeight="1">
      <c r="A542" s="288"/>
      <c r="B542" s="176" t="s">
        <v>1684</v>
      </c>
      <c r="C542" s="176" t="s">
        <v>1685</v>
      </c>
      <c r="D542" s="176" t="s">
        <v>818</v>
      </c>
      <c r="E542" s="170" t="s">
        <v>701</v>
      </c>
      <c r="F542" s="177" t="s">
        <v>702</v>
      </c>
      <c r="G542" s="176" t="s">
        <v>726</v>
      </c>
      <c r="H542" s="178" t="s">
        <v>130</v>
      </c>
    </row>
    <row r="543" spans="1:8" ht="15.75" customHeight="1">
      <c r="A543" s="288"/>
      <c r="B543" s="173" t="s">
        <v>1686</v>
      </c>
      <c r="C543" s="173" t="s">
        <v>1687</v>
      </c>
      <c r="D543" s="173" t="s">
        <v>818</v>
      </c>
      <c r="E543" s="170" t="s">
        <v>701</v>
      </c>
      <c r="F543" s="174" t="s">
        <v>702</v>
      </c>
      <c r="G543" s="173" t="s">
        <v>703</v>
      </c>
      <c r="H543" s="175" t="s">
        <v>130</v>
      </c>
    </row>
    <row r="544" spans="1:8" ht="15.75" customHeight="1">
      <c r="A544" s="288"/>
      <c r="B544" s="176" t="s">
        <v>1688</v>
      </c>
      <c r="C544" s="176" t="s">
        <v>1689</v>
      </c>
      <c r="D544" s="176" t="s">
        <v>818</v>
      </c>
      <c r="E544" s="170" t="s">
        <v>701</v>
      </c>
      <c r="F544" s="177" t="s">
        <v>702</v>
      </c>
      <c r="G544" s="176" t="s">
        <v>1690</v>
      </c>
      <c r="H544" s="178" t="s">
        <v>130</v>
      </c>
    </row>
    <row r="545" spans="1:8" ht="15.75" customHeight="1">
      <c r="A545" s="288"/>
      <c r="B545" s="173" t="s">
        <v>1691</v>
      </c>
      <c r="C545" s="173" t="s">
        <v>1692</v>
      </c>
      <c r="D545" s="173" t="s">
        <v>818</v>
      </c>
      <c r="E545" s="170" t="s">
        <v>701</v>
      </c>
      <c r="F545" s="174" t="s">
        <v>702</v>
      </c>
      <c r="G545" s="173" t="s">
        <v>726</v>
      </c>
      <c r="H545" s="175" t="s">
        <v>130</v>
      </c>
    </row>
    <row r="546" spans="1:8" ht="15.75" customHeight="1">
      <c r="A546" s="288"/>
      <c r="B546" s="176" t="s">
        <v>1693</v>
      </c>
      <c r="C546" s="176" t="s">
        <v>1694</v>
      </c>
      <c r="D546" s="176" t="s">
        <v>818</v>
      </c>
      <c r="E546" s="170" t="s">
        <v>701</v>
      </c>
      <c r="F546" s="177" t="s">
        <v>702</v>
      </c>
      <c r="G546" s="176" t="s">
        <v>709</v>
      </c>
      <c r="H546" s="178" t="s">
        <v>130</v>
      </c>
    </row>
    <row r="547" spans="1:8" ht="15.75" customHeight="1">
      <c r="A547" s="288"/>
      <c r="B547" s="173" t="s">
        <v>1695</v>
      </c>
      <c r="C547" s="173" t="s">
        <v>1696</v>
      </c>
      <c r="D547" s="173" t="s">
        <v>818</v>
      </c>
      <c r="E547" s="170" t="s">
        <v>701</v>
      </c>
      <c r="F547" s="174" t="s">
        <v>702</v>
      </c>
      <c r="G547" s="173" t="s">
        <v>709</v>
      </c>
      <c r="H547" s="175" t="s">
        <v>130</v>
      </c>
    </row>
    <row r="548" spans="1:8" ht="15.75" customHeight="1">
      <c r="A548" s="288"/>
      <c r="B548" s="176" t="s">
        <v>1697</v>
      </c>
      <c r="C548" s="176" t="s">
        <v>1698</v>
      </c>
      <c r="D548" s="176" t="s">
        <v>818</v>
      </c>
      <c r="E548" s="170" t="s">
        <v>701</v>
      </c>
      <c r="F548" s="177" t="s">
        <v>702</v>
      </c>
      <c r="G548" s="176" t="s">
        <v>706</v>
      </c>
      <c r="H548" s="178" t="s">
        <v>130</v>
      </c>
    </row>
    <row r="549" spans="1:8" ht="15.75" customHeight="1">
      <c r="A549" s="288"/>
      <c r="B549" s="173" t="s">
        <v>1699</v>
      </c>
      <c r="C549" s="173" t="s">
        <v>1700</v>
      </c>
      <c r="D549" s="173" t="s">
        <v>818</v>
      </c>
      <c r="E549" s="170" t="s">
        <v>701</v>
      </c>
      <c r="F549" s="174" t="s">
        <v>702</v>
      </c>
      <c r="G549" s="173" t="s">
        <v>709</v>
      </c>
      <c r="H549" s="175" t="s">
        <v>130</v>
      </c>
    </row>
    <row r="550" spans="1:8" ht="15.75" customHeight="1">
      <c r="A550" s="288"/>
      <c r="B550" s="176" t="s">
        <v>1701</v>
      </c>
      <c r="C550" s="176" t="s">
        <v>1702</v>
      </c>
      <c r="D550" s="176" t="s">
        <v>818</v>
      </c>
      <c r="E550" s="170" t="s">
        <v>701</v>
      </c>
      <c r="F550" s="177" t="s">
        <v>702</v>
      </c>
      <c r="G550" s="176" t="s">
        <v>726</v>
      </c>
      <c r="H550" s="178" t="s">
        <v>130</v>
      </c>
    </row>
    <row r="551" spans="1:8" ht="15.75" customHeight="1">
      <c r="A551" s="288"/>
      <c r="B551" s="173" t="s">
        <v>1703</v>
      </c>
      <c r="C551" s="173" t="s">
        <v>1704</v>
      </c>
      <c r="D551" s="173" t="s">
        <v>818</v>
      </c>
      <c r="E551" s="170" t="s">
        <v>701</v>
      </c>
      <c r="F551" s="174" t="s">
        <v>702</v>
      </c>
      <c r="G551" s="173" t="s">
        <v>726</v>
      </c>
      <c r="H551" s="175" t="s">
        <v>130</v>
      </c>
    </row>
    <row r="552" spans="1:8" ht="15.75" customHeight="1">
      <c r="A552" s="288"/>
      <c r="B552" s="176" t="s">
        <v>1705</v>
      </c>
      <c r="C552" s="176" t="s">
        <v>1706</v>
      </c>
      <c r="D552" s="176" t="s">
        <v>818</v>
      </c>
      <c r="E552" s="170" t="s">
        <v>701</v>
      </c>
      <c r="F552" s="177" t="s">
        <v>702</v>
      </c>
      <c r="G552" s="176" t="s">
        <v>709</v>
      </c>
      <c r="H552" s="178" t="s">
        <v>130</v>
      </c>
    </row>
    <row r="553" spans="1:8" ht="15.75" customHeight="1">
      <c r="A553" s="288"/>
      <c r="B553" s="173" t="s">
        <v>1707</v>
      </c>
      <c r="C553" s="173" t="s">
        <v>1708</v>
      </c>
      <c r="D553" s="173" t="s">
        <v>818</v>
      </c>
      <c r="E553" s="170" t="s">
        <v>701</v>
      </c>
      <c r="F553" s="174" t="s">
        <v>702</v>
      </c>
      <c r="G553" s="173" t="s">
        <v>709</v>
      </c>
      <c r="H553" s="175" t="s">
        <v>130</v>
      </c>
    </row>
    <row r="554" spans="1:8" ht="15.75" customHeight="1">
      <c r="A554" s="288"/>
      <c r="B554" s="176" t="s">
        <v>1709</v>
      </c>
      <c r="C554" s="176" t="s">
        <v>1710</v>
      </c>
      <c r="D554" s="176" t="s">
        <v>818</v>
      </c>
      <c r="E554" s="170" t="s">
        <v>701</v>
      </c>
      <c r="F554" s="177" t="s">
        <v>702</v>
      </c>
      <c r="G554" s="176" t="s">
        <v>703</v>
      </c>
      <c r="H554" s="178" t="s">
        <v>130</v>
      </c>
    </row>
    <row r="555" spans="1:8" ht="15.75" customHeight="1">
      <c r="A555" s="288"/>
      <c r="B555" s="173" t="s">
        <v>1711</v>
      </c>
      <c r="C555" s="173" t="s">
        <v>1712</v>
      </c>
      <c r="D555" s="173" t="s">
        <v>818</v>
      </c>
      <c r="E555" s="170" t="s">
        <v>701</v>
      </c>
      <c r="F555" s="174" t="s">
        <v>702</v>
      </c>
      <c r="G555" s="173" t="s">
        <v>709</v>
      </c>
      <c r="H555" s="175" t="s">
        <v>130</v>
      </c>
    </row>
    <row r="556" spans="1:8" ht="15.75" customHeight="1">
      <c r="A556" s="288"/>
      <c r="B556" s="176" t="s">
        <v>1713</v>
      </c>
      <c r="C556" s="176" t="s">
        <v>1714</v>
      </c>
      <c r="D556" s="176" t="s">
        <v>818</v>
      </c>
      <c r="E556" s="170" t="s">
        <v>701</v>
      </c>
      <c r="F556" s="177" t="s">
        <v>702</v>
      </c>
      <c r="G556" s="176" t="s">
        <v>703</v>
      </c>
      <c r="H556" s="178" t="s">
        <v>130</v>
      </c>
    </row>
    <row r="557" spans="1:8" ht="15.75" customHeight="1">
      <c r="A557" s="288"/>
      <c r="B557" s="173" t="s">
        <v>1715</v>
      </c>
      <c r="C557" s="173" t="s">
        <v>1716</v>
      </c>
      <c r="D557" s="173" t="s">
        <v>818</v>
      </c>
      <c r="E557" s="170" t="s">
        <v>701</v>
      </c>
      <c r="F557" s="174" t="s">
        <v>702</v>
      </c>
      <c r="G557" s="173" t="s">
        <v>745</v>
      </c>
      <c r="H557" s="175" t="s">
        <v>130</v>
      </c>
    </row>
    <row r="558" spans="1:8" ht="15.75" customHeight="1">
      <c r="A558" s="288"/>
      <c r="B558" s="176" t="s">
        <v>1717</v>
      </c>
      <c r="C558" s="176" t="s">
        <v>1718</v>
      </c>
      <c r="D558" s="176" t="s">
        <v>818</v>
      </c>
      <c r="E558" s="170" t="s">
        <v>701</v>
      </c>
      <c r="F558" s="177" t="s">
        <v>702</v>
      </c>
      <c r="G558" s="176" t="s">
        <v>706</v>
      </c>
      <c r="H558" s="178" t="s">
        <v>130</v>
      </c>
    </row>
    <row r="559" spans="1:8" ht="15.75" customHeight="1">
      <c r="A559" s="288"/>
      <c r="B559" s="173" t="s">
        <v>1719</v>
      </c>
      <c r="C559" s="173" t="s">
        <v>1720</v>
      </c>
      <c r="D559" s="173" t="s">
        <v>818</v>
      </c>
      <c r="E559" s="170" t="s">
        <v>701</v>
      </c>
      <c r="F559" s="174" t="s">
        <v>702</v>
      </c>
      <c r="G559" s="173" t="s">
        <v>706</v>
      </c>
      <c r="H559" s="175" t="s">
        <v>1721</v>
      </c>
    </row>
    <row r="560" spans="1:8" ht="15.75" customHeight="1">
      <c r="A560" s="288"/>
      <c r="B560" s="176" t="s">
        <v>1722</v>
      </c>
      <c r="C560" s="176" t="s">
        <v>1723</v>
      </c>
      <c r="D560" s="176" t="s">
        <v>818</v>
      </c>
      <c r="E560" s="170" t="s">
        <v>701</v>
      </c>
      <c r="F560" s="177" t="s">
        <v>702</v>
      </c>
      <c r="G560" s="176" t="s">
        <v>703</v>
      </c>
      <c r="H560" s="178" t="s">
        <v>130</v>
      </c>
    </row>
    <row r="561" spans="1:8" ht="15.75" customHeight="1">
      <c r="A561" s="288"/>
      <c r="B561" s="173" t="s">
        <v>1724</v>
      </c>
      <c r="C561" s="173" t="s">
        <v>1725</v>
      </c>
      <c r="D561" s="173" t="s">
        <v>818</v>
      </c>
      <c r="E561" s="170" t="s">
        <v>701</v>
      </c>
      <c r="F561" s="174" t="s">
        <v>702</v>
      </c>
      <c r="G561" s="173" t="s">
        <v>726</v>
      </c>
      <c r="H561" s="175" t="s">
        <v>130</v>
      </c>
    </row>
    <row r="562" spans="1:8" ht="15.75" customHeight="1">
      <c r="A562" s="288"/>
      <c r="B562" s="176" t="s">
        <v>1726</v>
      </c>
      <c r="C562" s="176" t="s">
        <v>1727</v>
      </c>
      <c r="D562" s="176" t="s">
        <v>818</v>
      </c>
      <c r="E562" s="170" t="s">
        <v>701</v>
      </c>
      <c r="F562" s="177" t="s">
        <v>702</v>
      </c>
      <c r="G562" s="176" t="s">
        <v>703</v>
      </c>
      <c r="H562" s="178" t="s">
        <v>130</v>
      </c>
    </row>
    <row r="563" spans="1:8" ht="15.75" customHeight="1">
      <c r="A563" s="288"/>
      <c r="B563" s="173" t="s">
        <v>1728</v>
      </c>
      <c r="C563" s="173" t="s">
        <v>1729</v>
      </c>
      <c r="D563" s="173" t="s">
        <v>818</v>
      </c>
      <c r="E563" s="170" t="s">
        <v>701</v>
      </c>
      <c r="F563" s="174" t="s">
        <v>702</v>
      </c>
      <c r="G563" s="173" t="s">
        <v>726</v>
      </c>
      <c r="H563" s="175" t="s">
        <v>130</v>
      </c>
    </row>
    <row r="564" spans="1:8" ht="15.75" customHeight="1">
      <c r="A564" s="288"/>
      <c r="B564" s="176" t="s">
        <v>1730</v>
      </c>
      <c r="C564" s="176" t="s">
        <v>1731</v>
      </c>
      <c r="D564" s="176" t="s">
        <v>818</v>
      </c>
      <c r="E564" s="170" t="s">
        <v>701</v>
      </c>
      <c r="F564" s="177" t="s">
        <v>702</v>
      </c>
      <c r="G564" s="176" t="s">
        <v>726</v>
      </c>
      <c r="H564" s="178" t="s">
        <v>130</v>
      </c>
    </row>
    <row r="565" spans="1:8" ht="15.75" customHeight="1">
      <c r="A565" s="288"/>
      <c r="B565" s="173" t="s">
        <v>1732</v>
      </c>
      <c r="C565" s="173" t="s">
        <v>1733</v>
      </c>
      <c r="D565" s="173" t="s">
        <v>818</v>
      </c>
      <c r="E565" s="170" t="s">
        <v>701</v>
      </c>
      <c r="F565" s="174" t="s">
        <v>702</v>
      </c>
      <c r="G565" s="173" t="s">
        <v>706</v>
      </c>
      <c r="H565" s="175" t="s">
        <v>130</v>
      </c>
    </row>
    <row r="566" spans="1:8" ht="15.75" customHeight="1">
      <c r="A566" s="288"/>
      <c r="B566" s="176" t="s">
        <v>1734</v>
      </c>
      <c r="C566" s="176" t="s">
        <v>1735</v>
      </c>
      <c r="D566" s="176" t="s">
        <v>818</v>
      </c>
      <c r="E566" s="170" t="s">
        <v>701</v>
      </c>
      <c r="F566" s="177" t="s">
        <v>702</v>
      </c>
      <c r="G566" s="176" t="s">
        <v>706</v>
      </c>
      <c r="H566" s="178" t="s">
        <v>130</v>
      </c>
    </row>
    <row r="567" spans="1:8" ht="15.75" customHeight="1">
      <c r="A567" s="288"/>
      <c r="B567" s="173" t="s">
        <v>1736</v>
      </c>
      <c r="C567" s="173" t="s">
        <v>1737</v>
      </c>
      <c r="D567" s="173" t="s">
        <v>818</v>
      </c>
      <c r="E567" s="170" t="s">
        <v>701</v>
      </c>
      <c r="F567" s="174" t="s">
        <v>702</v>
      </c>
      <c r="G567" s="173" t="s">
        <v>706</v>
      </c>
      <c r="H567" s="175" t="s">
        <v>130</v>
      </c>
    </row>
    <row r="568" spans="1:8" ht="15.75" customHeight="1">
      <c r="A568" s="288"/>
      <c r="B568" s="176" t="s">
        <v>1738</v>
      </c>
      <c r="C568" s="176" t="s">
        <v>1739</v>
      </c>
      <c r="D568" s="176" t="s">
        <v>818</v>
      </c>
      <c r="E568" s="170" t="s">
        <v>701</v>
      </c>
      <c r="F568" s="177" t="s">
        <v>702</v>
      </c>
      <c r="G568" s="176" t="s">
        <v>706</v>
      </c>
      <c r="H568" s="178" t="s">
        <v>130</v>
      </c>
    </row>
    <row r="569" spans="1:8" ht="15.75" customHeight="1">
      <c r="A569" s="288"/>
      <c r="B569" s="173" t="s">
        <v>1740</v>
      </c>
      <c r="C569" s="173" t="s">
        <v>1741</v>
      </c>
      <c r="D569" s="173" t="s">
        <v>818</v>
      </c>
      <c r="E569" s="170" t="s">
        <v>701</v>
      </c>
      <c r="F569" s="174" t="s">
        <v>702</v>
      </c>
      <c r="G569" s="173" t="s">
        <v>706</v>
      </c>
      <c r="H569" s="175" t="s">
        <v>130</v>
      </c>
    </row>
    <row r="570" spans="1:8" ht="15.75" customHeight="1">
      <c r="A570" s="288"/>
      <c r="B570" s="176" t="s">
        <v>1742</v>
      </c>
      <c r="C570" s="176" t="s">
        <v>1743</v>
      </c>
      <c r="D570" s="176" t="s">
        <v>818</v>
      </c>
      <c r="E570" s="170" t="s">
        <v>701</v>
      </c>
      <c r="F570" s="177" t="s">
        <v>702</v>
      </c>
      <c r="G570" s="176" t="s">
        <v>706</v>
      </c>
      <c r="H570" s="178" t="s">
        <v>130</v>
      </c>
    </row>
    <row r="571" spans="1:8" ht="15.75" customHeight="1">
      <c r="A571" s="288"/>
      <c r="B571" s="173" t="s">
        <v>1744</v>
      </c>
      <c r="C571" s="173" t="s">
        <v>1745</v>
      </c>
      <c r="D571" s="173" t="s">
        <v>818</v>
      </c>
      <c r="E571" s="170" t="s">
        <v>701</v>
      </c>
      <c r="F571" s="174" t="s">
        <v>702</v>
      </c>
      <c r="G571" s="173" t="s">
        <v>703</v>
      </c>
      <c r="H571" s="175" t="s">
        <v>130</v>
      </c>
    </row>
    <row r="572" spans="1:8" ht="15.75" customHeight="1">
      <c r="A572" s="288"/>
      <c r="B572" s="176" t="s">
        <v>1746</v>
      </c>
      <c r="C572" s="176" t="s">
        <v>1747</v>
      </c>
      <c r="D572" s="176" t="s">
        <v>818</v>
      </c>
      <c r="E572" s="170" t="s">
        <v>701</v>
      </c>
      <c r="F572" s="177" t="s">
        <v>702</v>
      </c>
      <c r="G572" s="176" t="s">
        <v>706</v>
      </c>
      <c r="H572" s="178" t="s">
        <v>130</v>
      </c>
    </row>
    <row r="573" spans="1:8" ht="15.75" customHeight="1">
      <c r="A573" s="288"/>
      <c r="B573" s="173" t="s">
        <v>1748</v>
      </c>
      <c r="C573" s="173" t="s">
        <v>1749</v>
      </c>
      <c r="D573" s="173" t="s">
        <v>818</v>
      </c>
      <c r="E573" s="170" t="s">
        <v>701</v>
      </c>
      <c r="F573" s="174" t="s">
        <v>702</v>
      </c>
      <c r="G573" s="173" t="s">
        <v>703</v>
      </c>
      <c r="H573" s="175" t="s">
        <v>130</v>
      </c>
    </row>
    <row r="574" spans="1:8" ht="15.75" customHeight="1">
      <c r="A574" s="288"/>
      <c r="B574" s="176" t="s">
        <v>1750</v>
      </c>
      <c r="C574" s="176" t="s">
        <v>1751</v>
      </c>
      <c r="D574" s="176" t="s">
        <v>818</v>
      </c>
      <c r="E574" s="170" t="s">
        <v>701</v>
      </c>
      <c r="F574" s="177" t="s">
        <v>702</v>
      </c>
      <c r="G574" s="176" t="s">
        <v>703</v>
      </c>
      <c r="H574" s="178" t="s">
        <v>130</v>
      </c>
    </row>
    <row r="575" spans="1:8" ht="15.75" customHeight="1">
      <c r="A575" s="288"/>
      <c r="B575" s="173" t="s">
        <v>1752</v>
      </c>
      <c r="C575" s="173" t="s">
        <v>1753</v>
      </c>
      <c r="D575" s="173" t="s">
        <v>818</v>
      </c>
      <c r="E575" s="170" t="s">
        <v>701</v>
      </c>
      <c r="F575" s="174" t="s">
        <v>702</v>
      </c>
      <c r="G575" s="173" t="s">
        <v>706</v>
      </c>
      <c r="H575" s="175" t="s">
        <v>130</v>
      </c>
    </row>
    <row r="576" spans="1:8" ht="15.75" customHeight="1">
      <c r="A576" s="288"/>
      <c r="B576" s="176" t="s">
        <v>1754</v>
      </c>
      <c r="C576" s="176" t="s">
        <v>1755</v>
      </c>
      <c r="D576" s="176" t="s">
        <v>818</v>
      </c>
      <c r="E576" s="170" t="s">
        <v>701</v>
      </c>
      <c r="F576" s="177" t="s">
        <v>702</v>
      </c>
      <c r="G576" s="176" t="s">
        <v>703</v>
      </c>
      <c r="H576" s="178" t="s">
        <v>130</v>
      </c>
    </row>
    <row r="577" spans="1:8" ht="15.75" customHeight="1">
      <c r="A577" s="288"/>
      <c r="B577" s="173" t="s">
        <v>1756</v>
      </c>
      <c r="C577" s="173" t="s">
        <v>1757</v>
      </c>
      <c r="D577" s="173" t="s">
        <v>818</v>
      </c>
      <c r="E577" s="170" t="s">
        <v>701</v>
      </c>
      <c r="F577" s="174" t="s">
        <v>702</v>
      </c>
      <c r="G577" s="173" t="s">
        <v>709</v>
      </c>
      <c r="H577" s="175" t="s">
        <v>130</v>
      </c>
    </row>
    <row r="578" spans="1:8" ht="15.75" customHeight="1">
      <c r="A578" s="288"/>
      <c r="B578" s="176" t="s">
        <v>1758</v>
      </c>
      <c r="C578" s="184" t="s">
        <v>1759</v>
      </c>
      <c r="D578" s="176" t="s">
        <v>818</v>
      </c>
      <c r="E578" s="170" t="s">
        <v>701</v>
      </c>
      <c r="F578" s="177" t="s">
        <v>702</v>
      </c>
      <c r="G578" s="176" t="s">
        <v>709</v>
      </c>
      <c r="H578" s="178" t="s">
        <v>130</v>
      </c>
    </row>
    <row r="579" spans="1:8" ht="15.75" customHeight="1">
      <c r="A579" s="288"/>
      <c r="B579" s="173" t="s">
        <v>1760</v>
      </c>
      <c r="C579" s="173" t="s">
        <v>1761</v>
      </c>
      <c r="D579" s="173" t="s">
        <v>818</v>
      </c>
      <c r="E579" s="170" t="s">
        <v>701</v>
      </c>
      <c r="F579" s="174" t="s">
        <v>702</v>
      </c>
      <c r="G579" s="173" t="s">
        <v>706</v>
      </c>
      <c r="H579" s="175" t="s">
        <v>130</v>
      </c>
    </row>
    <row r="580" spans="1:8" ht="15.75" customHeight="1">
      <c r="A580" s="288"/>
      <c r="B580" s="176" t="s">
        <v>1762</v>
      </c>
      <c r="C580" s="176" t="s">
        <v>1763</v>
      </c>
      <c r="D580" s="176" t="s">
        <v>818</v>
      </c>
      <c r="E580" s="170" t="s">
        <v>701</v>
      </c>
      <c r="F580" s="177" t="s">
        <v>702</v>
      </c>
      <c r="G580" s="176" t="s">
        <v>864</v>
      </c>
      <c r="H580" s="178" t="s">
        <v>130</v>
      </c>
    </row>
    <row r="581" spans="1:8" ht="15.75" customHeight="1">
      <c r="A581" s="288"/>
      <c r="B581" s="173" t="s">
        <v>1764</v>
      </c>
      <c r="C581" s="173" t="s">
        <v>1765</v>
      </c>
      <c r="D581" s="173" t="s">
        <v>818</v>
      </c>
      <c r="E581" s="170" t="s">
        <v>701</v>
      </c>
      <c r="F581" s="174" t="s">
        <v>702</v>
      </c>
      <c r="G581" s="173" t="s">
        <v>706</v>
      </c>
      <c r="H581" s="175" t="s">
        <v>130</v>
      </c>
    </row>
    <row r="582" spans="1:8" ht="15.75" customHeight="1">
      <c r="A582" s="288"/>
      <c r="B582" s="176" t="s">
        <v>1766</v>
      </c>
      <c r="C582" s="176" t="s">
        <v>1767</v>
      </c>
      <c r="D582" s="176" t="s">
        <v>818</v>
      </c>
      <c r="E582" s="170" t="s">
        <v>701</v>
      </c>
      <c r="F582" s="177" t="s">
        <v>702</v>
      </c>
      <c r="G582" s="176" t="s">
        <v>703</v>
      </c>
      <c r="H582" s="178" t="s">
        <v>130</v>
      </c>
    </row>
    <row r="583" spans="1:8" ht="15.75" customHeight="1">
      <c r="A583" s="288"/>
      <c r="B583" s="173" t="s">
        <v>1768</v>
      </c>
      <c r="C583" s="173" t="s">
        <v>1769</v>
      </c>
      <c r="D583" s="173" t="s">
        <v>818</v>
      </c>
      <c r="E583" s="170" t="s">
        <v>701</v>
      </c>
      <c r="F583" s="174" t="s">
        <v>702</v>
      </c>
      <c r="G583" s="173" t="s">
        <v>706</v>
      </c>
      <c r="H583" s="175" t="s">
        <v>1770</v>
      </c>
    </row>
    <row r="584" spans="1:8" ht="15.75" customHeight="1">
      <c r="A584" s="288"/>
      <c r="B584" s="176" t="s">
        <v>1771</v>
      </c>
      <c r="C584" s="176" t="s">
        <v>1772</v>
      </c>
      <c r="D584" s="176" t="s">
        <v>818</v>
      </c>
      <c r="E584" s="170" t="s">
        <v>701</v>
      </c>
      <c r="F584" s="177" t="s">
        <v>702</v>
      </c>
      <c r="G584" s="176" t="s">
        <v>703</v>
      </c>
      <c r="H584" s="178" t="s">
        <v>130</v>
      </c>
    </row>
    <row r="585" spans="1:8" ht="15.75" customHeight="1">
      <c r="A585" s="288"/>
      <c r="B585" s="173" t="s">
        <v>1773</v>
      </c>
      <c r="C585" s="173" t="s">
        <v>1774</v>
      </c>
      <c r="D585" s="173" t="s">
        <v>818</v>
      </c>
      <c r="E585" s="170" t="s">
        <v>701</v>
      </c>
      <c r="F585" s="174" t="s">
        <v>702</v>
      </c>
      <c r="G585" s="173" t="s">
        <v>726</v>
      </c>
      <c r="H585" s="175" t="s">
        <v>130</v>
      </c>
    </row>
    <row r="586" spans="1:8" ht="15.75" customHeight="1">
      <c r="A586" s="288"/>
      <c r="B586" s="176" t="s">
        <v>1775</v>
      </c>
      <c r="C586" s="176" t="s">
        <v>1776</v>
      </c>
      <c r="D586" s="176" t="s">
        <v>818</v>
      </c>
      <c r="E586" s="170" t="s">
        <v>701</v>
      </c>
      <c r="F586" s="177" t="s">
        <v>702</v>
      </c>
      <c r="G586" s="176" t="s">
        <v>703</v>
      </c>
      <c r="H586" s="178" t="s">
        <v>130</v>
      </c>
    </row>
    <row r="587" spans="1:8" ht="15.75" customHeight="1">
      <c r="A587" s="288"/>
      <c r="B587" s="173" t="s">
        <v>1777</v>
      </c>
      <c r="C587" s="173" t="s">
        <v>1778</v>
      </c>
      <c r="D587" s="173" t="s">
        <v>818</v>
      </c>
      <c r="E587" s="170" t="s">
        <v>701</v>
      </c>
      <c r="F587" s="174" t="s">
        <v>702</v>
      </c>
      <c r="G587" s="173" t="s">
        <v>709</v>
      </c>
      <c r="H587" s="175" t="s">
        <v>130</v>
      </c>
    </row>
    <row r="588" spans="1:8" ht="15.75" customHeight="1">
      <c r="A588" s="288"/>
      <c r="B588" s="176" t="s">
        <v>1779</v>
      </c>
      <c r="C588" s="176" t="s">
        <v>1780</v>
      </c>
      <c r="D588" s="176" t="s">
        <v>818</v>
      </c>
      <c r="E588" s="170" t="s">
        <v>701</v>
      </c>
      <c r="F588" s="177" t="s">
        <v>702</v>
      </c>
      <c r="G588" s="176" t="s">
        <v>709</v>
      </c>
      <c r="H588" s="178" t="s">
        <v>130</v>
      </c>
    </row>
    <row r="589" spans="1:8" ht="15.75" customHeight="1">
      <c r="A589" s="288"/>
      <c r="B589" s="173" t="s">
        <v>1781</v>
      </c>
      <c r="C589" s="173" t="s">
        <v>1782</v>
      </c>
      <c r="D589" s="173" t="s">
        <v>818</v>
      </c>
      <c r="E589" s="170" t="s">
        <v>701</v>
      </c>
      <c r="F589" s="174" t="s">
        <v>702</v>
      </c>
      <c r="G589" s="173" t="s">
        <v>723</v>
      </c>
      <c r="H589" s="175" t="s">
        <v>130</v>
      </c>
    </row>
    <row r="590" spans="1:8" ht="15.75" customHeight="1">
      <c r="A590" s="288"/>
      <c r="B590" s="176" t="s">
        <v>1783</v>
      </c>
      <c r="C590" s="176" t="s">
        <v>1784</v>
      </c>
      <c r="D590" s="176" t="s">
        <v>818</v>
      </c>
      <c r="E590" s="170" t="s">
        <v>701</v>
      </c>
      <c r="F590" s="177" t="s">
        <v>702</v>
      </c>
      <c r="G590" s="176" t="s">
        <v>1785</v>
      </c>
      <c r="H590" s="178" t="s">
        <v>130</v>
      </c>
    </row>
    <row r="591" spans="1:8" ht="15.75" customHeight="1">
      <c r="A591" s="288"/>
      <c r="B591" s="173" t="s">
        <v>1786</v>
      </c>
      <c r="C591" s="173" t="s">
        <v>1787</v>
      </c>
      <c r="D591" s="173" t="s">
        <v>818</v>
      </c>
      <c r="E591" s="170" t="s">
        <v>701</v>
      </c>
      <c r="F591" s="174" t="s">
        <v>702</v>
      </c>
      <c r="G591" s="173" t="s">
        <v>709</v>
      </c>
      <c r="H591" s="175" t="s">
        <v>130</v>
      </c>
    </row>
    <row r="592" spans="1:8" ht="15.75" customHeight="1">
      <c r="A592" s="288"/>
      <c r="B592" s="176" t="s">
        <v>1788</v>
      </c>
      <c r="C592" s="176" t="s">
        <v>1789</v>
      </c>
      <c r="D592" s="176" t="s">
        <v>818</v>
      </c>
      <c r="E592" s="170" t="s">
        <v>701</v>
      </c>
      <c r="F592" s="177" t="s">
        <v>702</v>
      </c>
      <c r="G592" s="176" t="s">
        <v>706</v>
      </c>
      <c r="H592" s="178" t="s">
        <v>973</v>
      </c>
    </row>
    <row r="593" spans="1:8" ht="15.75" customHeight="1">
      <c r="A593" s="288"/>
      <c r="B593" s="173" t="s">
        <v>1790</v>
      </c>
      <c r="C593" s="173" t="s">
        <v>1791</v>
      </c>
      <c r="D593" s="173" t="s">
        <v>818</v>
      </c>
      <c r="E593" s="170" t="s">
        <v>701</v>
      </c>
      <c r="F593" s="174" t="s">
        <v>702</v>
      </c>
      <c r="G593" s="173" t="s">
        <v>703</v>
      </c>
      <c r="H593" s="175" t="s">
        <v>130</v>
      </c>
    </row>
    <row r="594" spans="1:8" ht="15.75" customHeight="1">
      <c r="A594" s="288"/>
      <c r="B594" s="176" t="s">
        <v>1792</v>
      </c>
      <c r="C594" s="184" t="s">
        <v>1793</v>
      </c>
      <c r="D594" s="176" t="s">
        <v>818</v>
      </c>
      <c r="E594" s="170" t="s">
        <v>701</v>
      </c>
      <c r="F594" s="177" t="s">
        <v>702</v>
      </c>
      <c r="G594" s="176" t="s">
        <v>703</v>
      </c>
      <c r="H594" s="178" t="s">
        <v>130</v>
      </c>
    </row>
    <row r="595" spans="1:8" ht="15.75" customHeight="1">
      <c r="A595" s="288"/>
      <c r="B595" s="173" t="s">
        <v>1794</v>
      </c>
      <c r="C595" s="173" t="s">
        <v>1795</v>
      </c>
      <c r="D595" s="173" t="s">
        <v>818</v>
      </c>
      <c r="E595" s="170" t="s">
        <v>701</v>
      </c>
      <c r="F595" s="174" t="s">
        <v>702</v>
      </c>
      <c r="G595" s="173" t="s">
        <v>726</v>
      </c>
      <c r="H595" s="175" t="s">
        <v>130</v>
      </c>
    </row>
    <row r="596" spans="1:8" ht="15.75" customHeight="1">
      <c r="A596" s="288"/>
      <c r="B596" s="176" t="s">
        <v>1796</v>
      </c>
      <c r="C596" s="176" t="s">
        <v>1797</v>
      </c>
      <c r="D596" s="176" t="s">
        <v>818</v>
      </c>
      <c r="E596" s="170" t="s">
        <v>701</v>
      </c>
      <c r="F596" s="177" t="s">
        <v>702</v>
      </c>
      <c r="G596" s="176" t="s">
        <v>703</v>
      </c>
      <c r="H596" s="178" t="s">
        <v>130</v>
      </c>
    </row>
    <row r="597" spans="1:8" ht="15.75" customHeight="1">
      <c r="A597" s="288"/>
      <c r="B597" s="173" t="s">
        <v>1798</v>
      </c>
      <c r="C597" s="173" t="s">
        <v>1799</v>
      </c>
      <c r="D597" s="173" t="s">
        <v>818</v>
      </c>
      <c r="E597" s="170" t="s">
        <v>701</v>
      </c>
      <c r="F597" s="174" t="s">
        <v>702</v>
      </c>
      <c r="G597" s="173" t="s">
        <v>726</v>
      </c>
      <c r="H597" s="175" t="s">
        <v>130</v>
      </c>
    </row>
    <row r="598" spans="1:8" ht="15.75" customHeight="1">
      <c r="A598" s="288"/>
      <c r="B598" s="176" t="s">
        <v>1800</v>
      </c>
      <c r="C598" s="176" t="s">
        <v>1801</v>
      </c>
      <c r="D598" s="176" t="s">
        <v>818</v>
      </c>
      <c r="E598" s="170" t="s">
        <v>701</v>
      </c>
      <c r="F598" s="177" t="s">
        <v>702</v>
      </c>
      <c r="G598" s="176" t="s">
        <v>726</v>
      </c>
      <c r="H598" s="178" t="s">
        <v>130</v>
      </c>
    </row>
    <row r="599" spans="1:8" ht="15.75" customHeight="1">
      <c r="A599" s="288"/>
      <c r="B599" s="173" t="s">
        <v>1802</v>
      </c>
      <c r="C599" s="173" t="s">
        <v>1803</v>
      </c>
      <c r="D599" s="173" t="s">
        <v>818</v>
      </c>
      <c r="E599" s="170" t="s">
        <v>701</v>
      </c>
      <c r="F599" s="174" t="s">
        <v>702</v>
      </c>
      <c r="G599" s="173" t="s">
        <v>703</v>
      </c>
      <c r="H599" s="175" t="s">
        <v>130</v>
      </c>
    </row>
    <row r="600" spans="1:8" ht="15.75" customHeight="1">
      <c r="A600" s="288"/>
      <c r="B600" s="176" t="s">
        <v>1804</v>
      </c>
      <c r="C600" s="176" t="s">
        <v>1805</v>
      </c>
      <c r="D600" s="176" t="s">
        <v>818</v>
      </c>
      <c r="E600" s="170" t="s">
        <v>701</v>
      </c>
      <c r="F600" s="177" t="s">
        <v>702</v>
      </c>
      <c r="G600" s="176" t="s">
        <v>703</v>
      </c>
      <c r="H600" s="178" t="s">
        <v>130</v>
      </c>
    </row>
    <row r="601" spans="1:8" ht="15.75" customHeight="1">
      <c r="A601" s="288"/>
      <c r="B601" s="173" t="s">
        <v>1806</v>
      </c>
      <c r="C601" s="173" t="s">
        <v>1807</v>
      </c>
      <c r="D601" s="173" t="s">
        <v>818</v>
      </c>
      <c r="E601" s="170" t="s">
        <v>701</v>
      </c>
      <c r="F601" s="174" t="s">
        <v>702</v>
      </c>
      <c r="G601" s="173" t="s">
        <v>703</v>
      </c>
      <c r="H601" s="175" t="s">
        <v>130</v>
      </c>
    </row>
    <row r="602" spans="1:8" ht="15.75" customHeight="1">
      <c r="A602" s="288"/>
      <c r="B602" s="176" t="s">
        <v>1808</v>
      </c>
      <c r="C602" s="176" t="s">
        <v>1809</v>
      </c>
      <c r="D602" s="176" t="s">
        <v>818</v>
      </c>
      <c r="E602" s="170" t="s">
        <v>701</v>
      </c>
      <c r="F602" s="177" t="s">
        <v>702</v>
      </c>
      <c r="G602" s="176" t="s">
        <v>709</v>
      </c>
      <c r="H602" s="178" t="s">
        <v>130</v>
      </c>
    </row>
    <row r="603" spans="1:8" ht="15.75" customHeight="1">
      <c r="A603" s="288"/>
      <c r="B603" s="173" t="s">
        <v>1810</v>
      </c>
      <c r="C603" s="173" t="s">
        <v>1811</v>
      </c>
      <c r="D603" s="173" t="s">
        <v>818</v>
      </c>
      <c r="E603" s="170" t="s">
        <v>701</v>
      </c>
      <c r="F603" s="174" t="s">
        <v>702</v>
      </c>
      <c r="G603" s="173" t="s">
        <v>709</v>
      </c>
      <c r="H603" s="175" t="s">
        <v>130</v>
      </c>
    </row>
    <row r="604" spans="1:8" ht="15.75" customHeight="1">
      <c r="A604" s="288"/>
      <c r="B604" s="176" t="s">
        <v>1812</v>
      </c>
      <c r="C604" s="176" t="s">
        <v>1813</v>
      </c>
      <c r="D604" s="176" t="s">
        <v>818</v>
      </c>
      <c r="E604" s="170" t="s">
        <v>701</v>
      </c>
      <c r="F604" s="177" t="s">
        <v>702</v>
      </c>
      <c r="G604" s="176" t="s">
        <v>709</v>
      </c>
      <c r="H604" s="178" t="s">
        <v>130</v>
      </c>
    </row>
    <row r="605" spans="1:8" ht="15.75" customHeight="1">
      <c r="A605" s="288"/>
      <c r="B605" s="173" t="s">
        <v>1814</v>
      </c>
      <c r="C605" s="173" t="s">
        <v>1815</v>
      </c>
      <c r="D605" s="173" t="s">
        <v>818</v>
      </c>
      <c r="E605" s="170" t="s">
        <v>701</v>
      </c>
      <c r="F605" s="174" t="s">
        <v>702</v>
      </c>
      <c r="G605" s="173" t="s">
        <v>709</v>
      </c>
      <c r="H605" s="175" t="s">
        <v>130</v>
      </c>
    </row>
    <row r="606" spans="1:8" ht="15.75" customHeight="1">
      <c r="A606" s="288"/>
      <c r="B606" s="176" t="s">
        <v>1816</v>
      </c>
      <c r="C606" s="176" t="s">
        <v>1817</v>
      </c>
      <c r="D606" s="176" t="s">
        <v>818</v>
      </c>
      <c r="E606" s="170" t="s">
        <v>701</v>
      </c>
      <c r="F606" s="177" t="s">
        <v>702</v>
      </c>
      <c r="G606" s="176" t="s">
        <v>703</v>
      </c>
      <c r="H606" s="178" t="s">
        <v>130</v>
      </c>
    </row>
    <row r="607" spans="1:8" ht="15.75" customHeight="1">
      <c r="A607" s="288"/>
      <c r="B607" s="173" t="s">
        <v>1818</v>
      </c>
      <c r="C607" s="173" t="s">
        <v>1819</v>
      </c>
      <c r="D607" s="173" t="s">
        <v>818</v>
      </c>
      <c r="E607" s="170" t="s">
        <v>701</v>
      </c>
      <c r="F607" s="174" t="s">
        <v>702</v>
      </c>
      <c r="G607" s="173" t="s">
        <v>709</v>
      </c>
      <c r="H607" s="175" t="s">
        <v>130</v>
      </c>
    </row>
    <row r="608" spans="1:8" ht="15.75" customHeight="1">
      <c r="A608" s="288"/>
      <c r="B608" s="176" t="s">
        <v>1820</v>
      </c>
      <c r="C608" s="176" t="s">
        <v>1821</v>
      </c>
      <c r="D608" s="176" t="s">
        <v>818</v>
      </c>
      <c r="E608" s="170" t="s">
        <v>701</v>
      </c>
      <c r="F608" s="177" t="s">
        <v>702</v>
      </c>
      <c r="G608" s="176" t="s">
        <v>703</v>
      </c>
      <c r="H608" s="178" t="s">
        <v>130</v>
      </c>
    </row>
    <row r="609" spans="1:8" ht="15.75" customHeight="1">
      <c r="A609" s="288"/>
      <c r="B609" s="173" t="s">
        <v>1822</v>
      </c>
      <c r="C609" s="173" t="s">
        <v>1823</v>
      </c>
      <c r="D609" s="173" t="s">
        <v>818</v>
      </c>
      <c r="E609" s="170" t="s">
        <v>701</v>
      </c>
      <c r="F609" s="174" t="s">
        <v>702</v>
      </c>
      <c r="G609" s="173" t="s">
        <v>703</v>
      </c>
      <c r="H609" s="175" t="s">
        <v>130</v>
      </c>
    </row>
    <row r="610" spans="1:8" ht="15.75" customHeight="1">
      <c r="A610" s="288"/>
      <c r="B610" s="176" t="s">
        <v>1824</v>
      </c>
      <c r="C610" s="176" t="s">
        <v>1825</v>
      </c>
      <c r="D610" s="176" t="s">
        <v>818</v>
      </c>
      <c r="E610" s="170" t="s">
        <v>701</v>
      </c>
      <c r="F610" s="177" t="s">
        <v>702</v>
      </c>
      <c r="G610" s="176" t="s">
        <v>703</v>
      </c>
      <c r="H610" s="178" t="s">
        <v>130</v>
      </c>
    </row>
    <row r="611" spans="1:8" ht="15.75" customHeight="1">
      <c r="A611" s="288"/>
      <c r="B611" s="173" t="s">
        <v>1826</v>
      </c>
      <c r="C611" s="173" t="s">
        <v>1827</v>
      </c>
      <c r="D611" s="173" t="s">
        <v>818</v>
      </c>
      <c r="E611" s="170" t="s">
        <v>701</v>
      </c>
      <c r="F611" s="174" t="s">
        <v>702</v>
      </c>
      <c r="G611" s="173" t="s">
        <v>703</v>
      </c>
      <c r="H611" s="175" t="s">
        <v>130</v>
      </c>
    </row>
    <row r="612" spans="1:8" ht="15.75" customHeight="1">
      <c r="A612" s="288"/>
      <c r="B612" s="176" t="s">
        <v>1828</v>
      </c>
      <c r="C612" s="176" t="s">
        <v>1829</v>
      </c>
      <c r="D612" s="176" t="s">
        <v>818</v>
      </c>
      <c r="E612" s="170" t="s">
        <v>701</v>
      </c>
      <c r="F612" s="177" t="s">
        <v>702</v>
      </c>
      <c r="G612" s="176" t="s">
        <v>709</v>
      </c>
      <c r="H612" s="178" t="s">
        <v>130</v>
      </c>
    </row>
    <row r="613" spans="1:8" ht="15.75" customHeight="1">
      <c r="A613" s="288"/>
      <c r="B613" s="173" t="s">
        <v>1830</v>
      </c>
      <c r="C613" s="173" t="s">
        <v>1831</v>
      </c>
      <c r="D613" s="173" t="s">
        <v>818</v>
      </c>
      <c r="E613" s="170" t="s">
        <v>701</v>
      </c>
      <c r="F613" s="174" t="s">
        <v>702</v>
      </c>
      <c r="G613" s="173" t="s">
        <v>703</v>
      </c>
      <c r="H613" s="175" t="s">
        <v>130</v>
      </c>
    </row>
    <row r="614" spans="1:8" ht="15.75" customHeight="1">
      <c r="A614" s="288"/>
      <c r="B614" s="176" t="s">
        <v>1832</v>
      </c>
      <c r="C614" s="176" t="s">
        <v>1833</v>
      </c>
      <c r="D614" s="176" t="s">
        <v>818</v>
      </c>
      <c r="E614" s="170" t="s">
        <v>701</v>
      </c>
      <c r="F614" s="177" t="s">
        <v>702</v>
      </c>
      <c r="G614" s="176" t="s">
        <v>706</v>
      </c>
      <c r="H614" s="178" t="s">
        <v>130</v>
      </c>
    </row>
    <row r="615" spans="1:8" ht="15.75" customHeight="1">
      <c r="A615" s="288"/>
      <c r="B615" s="173" t="s">
        <v>1834</v>
      </c>
      <c r="C615" s="173" t="s">
        <v>1835</v>
      </c>
      <c r="D615" s="173" t="s">
        <v>818</v>
      </c>
      <c r="E615" s="170" t="s">
        <v>701</v>
      </c>
      <c r="F615" s="174" t="s">
        <v>702</v>
      </c>
      <c r="G615" s="173" t="s">
        <v>706</v>
      </c>
      <c r="H615" s="175" t="s">
        <v>1836</v>
      </c>
    </row>
    <row r="616" spans="1:8" ht="15.75" customHeight="1">
      <c r="A616" s="288"/>
      <c r="B616" s="176" t="s">
        <v>1837</v>
      </c>
      <c r="C616" s="176" t="s">
        <v>1838</v>
      </c>
      <c r="D616" s="176" t="s">
        <v>818</v>
      </c>
      <c r="E616" s="170" t="s">
        <v>701</v>
      </c>
      <c r="F616" s="177" t="s">
        <v>702</v>
      </c>
      <c r="G616" s="176" t="s">
        <v>726</v>
      </c>
      <c r="H616" s="178" t="s">
        <v>130</v>
      </c>
    </row>
    <row r="617" spans="1:8" ht="15.75" customHeight="1">
      <c r="A617" s="288"/>
      <c r="B617" s="173" t="s">
        <v>1839</v>
      </c>
      <c r="C617" s="173" t="s">
        <v>1840</v>
      </c>
      <c r="D617" s="173" t="s">
        <v>818</v>
      </c>
      <c r="E617" s="170" t="s">
        <v>701</v>
      </c>
      <c r="F617" s="174" t="s">
        <v>702</v>
      </c>
      <c r="G617" s="173" t="s">
        <v>706</v>
      </c>
      <c r="H617" s="175" t="s">
        <v>130</v>
      </c>
    </row>
    <row r="618" spans="1:8" ht="15.75" customHeight="1">
      <c r="A618" s="288"/>
      <c r="B618" s="176" t="s">
        <v>1841</v>
      </c>
      <c r="C618" s="176" t="s">
        <v>1842</v>
      </c>
      <c r="D618" s="176" t="s">
        <v>818</v>
      </c>
      <c r="E618" s="170" t="s">
        <v>701</v>
      </c>
      <c r="F618" s="177" t="s">
        <v>702</v>
      </c>
      <c r="G618" s="176" t="s">
        <v>723</v>
      </c>
      <c r="H618" s="178" t="s">
        <v>130</v>
      </c>
    </row>
    <row r="619" spans="1:8" ht="15.75" customHeight="1">
      <c r="A619" s="288"/>
      <c r="B619" s="173" t="s">
        <v>1843</v>
      </c>
      <c r="C619" s="173" t="s">
        <v>1844</v>
      </c>
      <c r="D619" s="173" t="s">
        <v>818</v>
      </c>
      <c r="E619" s="170" t="s">
        <v>701</v>
      </c>
      <c r="F619" s="174" t="s">
        <v>702</v>
      </c>
      <c r="G619" s="173" t="s">
        <v>864</v>
      </c>
      <c r="H619" s="175" t="s">
        <v>130</v>
      </c>
    </row>
    <row r="620" spans="1:8" ht="15.75" customHeight="1">
      <c r="A620" s="288"/>
      <c r="B620" s="176" t="s">
        <v>1845</v>
      </c>
      <c r="C620" s="176" t="s">
        <v>1846</v>
      </c>
      <c r="D620" s="176" t="s">
        <v>818</v>
      </c>
      <c r="E620" s="170" t="s">
        <v>701</v>
      </c>
      <c r="F620" s="177" t="s">
        <v>702</v>
      </c>
      <c r="G620" s="176" t="s">
        <v>706</v>
      </c>
      <c r="H620" s="178" t="s">
        <v>130</v>
      </c>
    </row>
    <row r="621" spans="1:8" ht="15.75" customHeight="1">
      <c r="A621" s="288"/>
      <c r="B621" s="173" t="s">
        <v>1847</v>
      </c>
      <c r="C621" s="173" t="s">
        <v>1848</v>
      </c>
      <c r="D621" s="173" t="s">
        <v>818</v>
      </c>
      <c r="E621" s="170" t="s">
        <v>701</v>
      </c>
      <c r="F621" s="174" t="s">
        <v>702</v>
      </c>
      <c r="G621" s="173" t="s">
        <v>709</v>
      </c>
      <c r="H621" s="175" t="s">
        <v>130</v>
      </c>
    </row>
    <row r="622" spans="1:8" ht="15.75" customHeight="1">
      <c r="A622" s="288"/>
      <c r="B622" s="176" t="s">
        <v>1849</v>
      </c>
      <c r="C622" s="176" t="s">
        <v>1850</v>
      </c>
      <c r="D622" s="176" t="s">
        <v>818</v>
      </c>
      <c r="E622" s="170" t="s">
        <v>701</v>
      </c>
      <c r="F622" s="177" t="s">
        <v>702</v>
      </c>
      <c r="G622" s="176" t="s">
        <v>703</v>
      </c>
      <c r="H622" s="178" t="s">
        <v>130</v>
      </c>
    </row>
    <row r="623" spans="1:8" ht="15.75" customHeight="1">
      <c r="A623" s="288"/>
      <c r="B623" s="173" t="s">
        <v>1851</v>
      </c>
      <c r="C623" s="179" t="s">
        <v>1852</v>
      </c>
      <c r="D623" s="173" t="s">
        <v>818</v>
      </c>
      <c r="E623" s="170" t="s">
        <v>701</v>
      </c>
      <c r="F623" s="174" t="s">
        <v>702</v>
      </c>
      <c r="G623" s="173" t="s">
        <v>709</v>
      </c>
      <c r="H623" s="175" t="s">
        <v>130</v>
      </c>
    </row>
    <row r="624" spans="1:8" ht="15.75" customHeight="1">
      <c r="A624" s="288"/>
      <c r="B624" s="176" t="s">
        <v>1853</v>
      </c>
      <c r="C624" s="176" t="s">
        <v>1854</v>
      </c>
      <c r="D624" s="176" t="s">
        <v>818</v>
      </c>
      <c r="E624" s="170" t="s">
        <v>701</v>
      </c>
      <c r="F624" s="177" t="s">
        <v>702</v>
      </c>
      <c r="G624" s="176" t="s">
        <v>703</v>
      </c>
      <c r="H624" s="178" t="s">
        <v>130</v>
      </c>
    </row>
    <row r="625" spans="1:8" ht="15.75" customHeight="1">
      <c r="A625" s="288"/>
      <c r="B625" s="173" t="s">
        <v>1855</v>
      </c>
      <c r="C625" s="173" t="s">
        <v>1856</v>
      </c>
      <c r="D625" s="173" t="s">
        <v>818</v>
      </c>
      <c r="E625" s="170" t="s">
        <v>701</v>
      </c>
      <c r="F625" s="174" t="s">
        <v>702</v>
      </c>
      <c r="G625" s="173" t="s">
        <v>726</v>
      </c>
      <c r="H625" s="175" t="s">
        <v>130</v>
      </c>
    </row>
    <row r="626" spans="1:8" ht="15.75" customHeight="1">
      <c r="A626" s="288"/>
      <c r="B626" s="176" t="s">
        <v>1857</v>
      </c>
      <c r="C626" s="176" t="s">
        <v>1858</v>
      </c>
      <c r="D626" s="176" t="s">
        <v>818</v>
      </c>
      <c r="E626" s="170" t="s">
        <v>701</v>
      </c>
      <c r="F626" s="177" t="s">
        <v>702</v>
      </c>
      <c r="G626" s="176" t="s">
        <v>723</v>
      </c>
      <c r="H626" s="178" t="s">
        <v>130</v>
      </c>
    </row>
    <row r="627" spans="1:8" ht="15.75" customHeight="1">
      <c r="A627" s="288"/>
      <c r="B627" s="173" t="s">
        <v>1859</v>
      </c>
      <c r="C627" s="173" t="s">
        <v>1860</v>
      </c>
      <c r="D627" s="173" t="s">
        <v>818</v>
      </c>
      <c r="E627" s="170" t="s">
        <v>701</v>
      </c>
      <c r="F627" s="174" t="s">
        <v>702</v>
      </c>
      <c r="G627" s="173" t="s">
        <v>703</v>
      </c>
      <c r="H627" s="175" t="s">
        <v>130</v>
      </c>
    </row>
    <row r="628" spans="1:8" ht="15.75" customHeight="1">
      <c r="A628" s="288"/>
      <c r="B628" s="176" t="s">
        <v>1861</v>
      </c>
      <c r="C628" s="176" t="s">
        <v>1862</v>
      </c>
      <c r="D628" s="176" t="s">
        <v>818</v>
      </c>
      <c r="E628" s="170" t="s">
        <v>701</v>
      </c>
      <c r="F628" s="177" t="s">
        <v>702</v>
      </c>
      <c r="G628" s="176" t="s">
        <v>706</v>
      </c>
      <c r="H628" s="178" t="s">
        <v>130</v>
      </c>
    </row>
    <row r="629" spans="1:8" ht="15.75" customHeight="1">
      <c r="A629" s="288"/>
      <c r="B629" s="173" t="s">
        <v>1863</v>
      </c>
      <c r="C629" s="173" t="s">
        <v>1864</v>
      </c>
      <c r="D629" s="173" t="s">
        <v>818</v>
      </c>
      <c r="E629" s="170" t="s">
        <v>701</v>
      </c>
      <c r="F629" s="174" t="s">
        <v>702</v>
      </c>
      <c r="G629" s="173" t="s">
        <v>703</v>
      </c>
      <c r="H629" s="175" t="s">
        <v>130</v>
      </c>
    </row>
    <row r="630" spans="1:8" ht="15.75" customHeight="1">
      <c r="A630" s="288"/>
      <c r="B630" s="176" t="s">
        <v>1865</v>
      </c>
      <c r="C630" s="176" t="s">
        <v>1866</v>
      </c>
      <c r="D630" s="176" t="s">
        <v>818</v>
      </c>
      <c r="E630" s="170" t="s">
        <v>701</v>
      </c>
      <c r="F630" s="177" t="s">
        <v>702</v>
      </c>
      <c r="G630" s="176" t="s">
        <v>709</v>
      </c>
      <c r="H630" s="178" t="s">
        <v>130</v>
      </c>
    </row>
    <row r="631" spans="1:8" ht="15.75" customHeight="1">
      <c r="A631" s="288"/>
      <c r="B631" s="173" t="s">
        <v>1867</v>
      </c>
      <c r="C631" s="173" t="s">
        <v>1868</v>
      </c>
      <c r="D631" s="173" t="s">
        <v>818</v>
      </c>
      <c r="E631" s="170" t="s">
        <v>701</v>
      </c>
      <c r="F631" s="174" t="s">
        <v>702</v>
      </c>
      <c r="G631" s="173" t="s">
        <v>709</v>
      </c>
      <c r="H631" s="175" t="s">
        <v>130</v>
      </c>
    </row>
    <row r="632" spans="1:8" ht="15.75" customHeight="1">
      <c r="A632" s="288"/>
      <c r="B632" s="176" t="s">
        <v>1869</v>
      </c>
      <c r="C632" s="184" t="s">
        <v>1870</v>
      </c>
      <c r="D632" s="176" t="s">
        <v>818</v>
      </c>
      <c r="E632" s="170" t="s">
        <v>701</v>
      </c>
      <c r="F632" s="177" t="s">
        <v>702</v>
      </c>
      <c r="G632" s="176" t="s">
        <v>706</v>
      </c>
      <c r="H632" s="178" t="s">
        <v>130</v>
      </c>
    </row>
    <row r="633" spans="1:8" ht="15.75" customHeight="1">
      <c r="A633" s="288"/>
      <c r="B633" s="173" t="s">
        <v>1871</v>
      </c>
      <c r="C633" s="173" t="s">
        <v>1872</v>
      </c>
      <c r="D633" s="173" t="s">
        <v>818</v>
      </c>
      <c r="E633" s="170" t="s">
        <v>701</v>
      </c>
      <c r="F633" s="174" t="s">
        <v>702</v>
      </c>
      <c r="G633" s="173" t="s">
        <v>703</v>
      </c>
      <c r="H633" s="175" t="s">
        <v>130</v>
      </c>
    </row>
    <row r="634" spans="1:8" ht="15.75" customHeight="1">
      <c r="A634" s="288"/>
      <c r="B634" s="176" t="s">
        <v>1873</v>
      </c>
      <c r="C634" s="176" t="s">
        <v>1874</v>
      </c>
      <c r="D634" s="176" t="s">
        <v>818</v>
      </c>
      <c r="E634" s="170" t="s">
        <v>701</v>
      </c>
      <c r="F634" s="177" t="s">
        <v>702</v>
      </c>
      <c r="G634" s="176" t="s">
        <v>709</v>
      </c>
      <c r="H634" s="178" t="s">
        <v>130</v>
      </c>
    </row>
    <row r="635" spans="1:8" ht="15.75" customHeight="1">
      <c r="A635" s="288"/>
      <c r="B635" s="173" t="s">
        <v>1875</v>
      </c>
      <c r="C635" s="173" t="s">
        <v>1876</v>
      </c>
      <c r="D635" s="173" t="s">
        <v>818</v>
      </c>
      <c r="E635" s="170" t="s">
        <v>701</v>
      </c>
      <c r="F635" s="174" t="s">
        <v>702</v>
      </c>
      <c r="G635" s="173" t="s">
        <v>703</v>
      </c>
      <c r="H635" s="175" t="s">
        <v>130</v>
      </c>
    </row>
    <row r="636" spans="1:8" ht="15.75" customHeight="1">
      <c r="A636" s="288"/>
      <c r="B636" s="176" t="s">
        <v>1877</v>
      </c>
      <c r="C636" s="176" t="s">
        <v>1878</v>
      </c>
      <c r="D636" s="176" t="s">
        <v>818</v>
      </c>
      <c r="E636" s="170" t="s">
        <v>701</v>
      </c>
      <c r="F636" s="177" t="s">
        <v>702</v>
      </c>
      <c r="G636" s="176" t="s">
        <v>703</v>
      </c>
      <c r="H636" s="178" t="s">
        <v>130</v>
      </c>
    </row>
    <row r="637" spans="1:8" ht="15.75" customHeight="1">
      <c r="A637" s="288"/>
      <c r="B637" s="173" t="s">
        <v>1879</v>
      </c>
      <c r="C637" s="179" t="s">
        <v>1880</v>
      </c>
      <c r="D637" s="173" t="s">
        <v>818</v>
      </c>
      <c r="E637" s="170" t="s">
        <v>701</v>
      </c>
      <c r="F637" s="174" t="s">
        <v>702</v>
      </c>
      <c r="G637" s="173" t="s">
        <v>703</v>
      </c>
      <c r="H637" s="175" t="s">
        <v>130</v>
      </c>
    </row>
    <row r="638" spans="1:8" ht="15.75" customHeight="1">
      <c r="A638" s="288"/>
      <c r="B638" s="176" t="s">
        <v>1881</v>
      </c>
      <c r="C638" s="176" t="s">
        <v>1882</v>
      </c>
      <c r="D638" s="176" t="s">
        <v>818</v>
      </c>
      <c r="E638" s="170" t="s">
        <v>701</v>
      </c>
      <c r="F638" s="177" t="s">
        <v>702</v>
      </c>
      <c r="G638" s="176" t="s">
        <v>709</v>
      </c>
      <c r="H638" s="178" t="s">
        <v>130</v>
      </c>
    </row>
    <row r="639" spans="1:8" ht="15.75" customHeight="1">
      <c r="A639" s="288"/>
      <c r="B639" s="173" t="s">
        <v>1883</v>
      </c>
      <c r="C639" s="173" t="s">
        <v>1884</v>
      </c>
      <c r="D639" s="173" t="s">
        <v>818</v>
      </c>
      <c r="E639" s="170" t="s">
        <v>701</v>
      </c>
      <c r="F639" s="174" t="s">
        <v>702</v>
      </c>
      <c r="G639" s="173" t="s">
        <v>709</v>
      </c>
      <c r="H639" s="175" t="s">
        <v>130</v>
      </c>
    </row>
    <row r="640" spans="1:8" ht="15.75" customHeight="1">
      <c r="A640" s="288"/>
      <c r="B640" s="176" t="s">
        <v>1885</v>
      </c>
      <c r="C640" s="176" t="s">
        <v>1886</v>
      </c>
      <c r="D640" s="176" t="s">
        <v>818</v>
      </c>
      <c r="E640" s="170" t="s">
        <v>701</v>
      </c>
      <c r="F640" s="177" t="s">
        <v>702</v>
      </c>
      <c r="G640" s="176" t="s">
        <v>726</v>
      </c>
      <c r="H640" s="178" t="s">
        <v>130</v>
      </c>
    </row>
    <row r="641" spans="1:8" ht="15.75" customHeight="1">
      <c r="A641" s="288"/>
      <c r="B641" s="173" t="s">
        <v>1887</v>
      </c>
      <c r="C641" s="173" t="s">
        <v>1888</v>
      </c>
      <c r="D641" s="173" t="s">
        <v>818</v>
      </c>
      <c r="E641" s="170" t="s">
        <v>701</v>
      </c>
      <c r="F641" s="174" t="s">
        <v>702</v>
      </c>
      <c r="G641" s="173" t="s">
        <v>723</v>
      </c>
      <c r="H641" s="175" t="s">
        <v>130</v>
      </c>
    </row>
    <row r="642" spans="1:8" ht="15.75" customHeight="1">
      <c r="A642" s="288"/>
      <c r="B642" s="176" t="s">
        <v>1889</v>
      </c>
      <c r="C642" s="176" t="s">
        <v>1890</v>
      </c>
      <c r="D642" s="176" t="s">
        <v>818</v>
      </c>
      <c r="E642" s="170" t="s">
        <v>701</v>
      </c>
      <c r="F642" s="177" t="s">
        <v>702</v>
      </c>
      <c r="G642" s="176" t="s">
        <v>703</v>
      </c>
      <c r="H642" s="178" t="s">
        <v>130</v>
      </c>
    </row>
    <row r="643" spans="1:8" ht="15.75" customHeight="1">
      <c r="A643" s="288"/>
      <c r="B643" s="173" t="s">
        <v>1891</v>
      </c>
      <c r="C643" s="173" t="s">
        <v>1892</v>
      </c>
      <c r="D643" s="173" t="s">
        <v>818</v>
      </c>
      <c r="E643" s="170" t="s">
        <v>701</v>
      </c>
      <c r="F643" s="174" t="s">
        <v>702</v>
      </c>
      <c r="G643" s="173" t="s">
        <v>709</v>
      </c>
      <c r="H643" s="175" t="s">
        <v>130</v>
      </c>
    </row>
    <row r="644" spans="1:8" ht="15.75" customHeight="1">
      <c r="A644" s="288"/>
      <c r="B644" s="176" t="s">
        <v>1893</v>
      </c>
      <c r="C644" s="176" t="s">
        <v>1894</v>
      </c>
      <c r="D644" s="176" t="s">
        <v>818</v>
      </c>
      <c r="E644" s="170" t="s">
        <v>701</v>
      </c>
      <c r="F644" s="177" t="s">
        <v>702</v>
      </c>
      <c r="G644" s="176" t="s">
        <v>709</v>
      </c>
      <c r="H644" s="178" t="s">
        <v>130</v>
      </c>
    </row>
    <row r="645" spans="1:8" ht="15.75" customHeight="1">
      <c r="A645" s="288"/>
      <c r="B645" s="173" t="s">
        <v>1895</v>
      </c>
      <c r="C645" s="173" t="s">
        <v>1896</v>
      </c>
      <c r="D645" s="173" t="s">
        <v>818</v>
      </c>
      <c r="E645" s="170" t="s">
        <v>701</v>
      </c>
      <c r="F645" s="174" t="s">
        <v>702</v>
      </c>
      <c r="G645" s="173" t="s">
        <v>709</v>
      </c>
      <c r="H645" s="175" t="s">
        <v>130</v>
      </c>
    </row>
    <row r="646" spans="1:8" ht="15.75" customHeight="1">
      <c r="A646" s="288"/>
      <c r="B646" s="176" t="s">
        <v>1897</v>
      </c>
      <c r="C646" s="176" t="s">
        <v>1898</v>
      </c>
      <c r="D646" s="176" t="s">
        <v>818</v>
      </c>
      <c r="E646" s="170" t="s">
        <v>701</v>
      </c>
      <c r="F646" s="177" t="s">
        <v>702</v>
      </c>
      <c r="G646" s="176" t="s">
        <v>703</v>
      </c>
      <c r="H646" s="178" t="s">
        <v>130</v>
      </c>
    </row>
    <row r="647" spans="1:8" ht="15.75" customHeight="1">
      <c r="A647" s="288"/>
      <c r="B647" s="173" t="s">
        <v>1899</v>
      </c>
      <c r="C647" s="173" t="s">
        <v>1900</v>
      </c>
      <c r="D647" s="173" t="s">
        <v>818</v>
      </c>
      <c r="E647" s="170" t="s">
        <v>701</v>
      </c>
      <c r="F647" s="174" t="s">
        <v>702</v>
      </c>
      <c r="G647" s="173" t="s">
        <v>723</v>
      </c>
      <c r="H647" s="175" t="s">
        <v>130</v>
      </c>
    </row>
    <row r="648" spans="1:8" ht="15.75" customHeight="1">
      <c r="A648" s="288"/>
      <c r="B648" s="176" t="s">
        <v>1901</v>
      </c>
      <c r="C648" s="176" t="s">
        <v>1902</v>
      </c>
      <c r="D648" s="176" t="s">
        <v>818</v>
      </c>
      <c r="E648" s="170" t="s">
        <v>701</v>
      </c>
      <c r="F648" s="177" t="s">
        <v>702</v>
      </c>
      <c r="G648" s="176" t="s">
        <v>703</v>
      </c>
      <c r="H648" s="178" t="s">
        <v>130</v>
      </c>
    </row>
    <row r="649" spans="1:8" ht="15.75" customHeight="1">
      <c r="A649" s="288"/>
      <c r="B649" s="173" t="s">
        <v>1903</v>
      </c>
      <c r="C649" s="173" t="s">
        <v>1904</v>
      </c>
      <c r="D649" s="173" t="s">
        <v>818</v>
      </c>
      <c r="E649" s="170" t="s">
        <v>701</v>
      </c>
      <c r="F649" s="174" t="s">
        <v>702</v>
      </c>
      <c r="G649" s="173" t="s">
        <v>726</v>
      </c>
      <c r="H649" s="175" t="s">
        <v>130</v>
      </c>
    </row>
    <row r="650" spans="1:8" ht="15.75" customHeight="1">
      <c r="A650" s="288"/>
      <c r="B650" s="176" t="s">
        <v>1905</v>
      </c>
      <c r="C650" s="176" t="s">
        <v>1906</v>
      </c>
      <c r="D650" s="176" t="s">
        <v>818</v>
      </c>
      <c r="E650" s="170" t="s">
        <v>701</v>
      </c>
      <c r="F650" s="177" t="s">
        <v>702</v>
      </c>
      <c r="G650" s="176" t="s">
        <v>726</v>
      </c>
      <c r="H650" s="178" t="s">
        <v>130</v>
      </c>
    </row>
    <row r="651" spans="1:8" ht="15.75" customHeight="1">
      <c r="A651" s="288"/>
      <c r="B651" s="173" t="s">
        <v>1907</v>
      </c>
      <c r="C651" s="173" t="s">
        <v>1908</v>
      </c>
      <c r="D651" s="173" t="s">
        <v>818</v>
      </c>
      <c r="E651" s="170" t="s">
        <v>701</v>
      </c>
      <c r="F651" s="174" t="s">
        <v>702</v>
      </c>
      <c r="G651" s="173" t="s">
        <v>709</v>
      </c>
      <c r="H651" s="175" t="s">
        <v>130</v>
      </c>
    </row>
    <row r="652" spans="1:8" ht="15.75" customHeight="1">
      <c r="A652" s="288"/>
      <c r="B652" s="176" t="s">
        <v>1909</v>
      </c>
      <c r="C652" s="176" t="s">
        <v>1910</v>
      </c>
      <c r="D652" s="176" t="s">
        <v>818</v>
      </c>
      <c r="E652" s="170" t="s">
        <v>701</v>
      </c>
      <c r="F652" s="177" t="s">
        <v>702</v>
      </c>
      <c r="G652" s="176" t="s">
        <v>740</v>
      </c>
      <c r="H652" s="178" t="s">
        <v>130</v>
      </c>
    </row>
    <row r="653" spans="1:8" ht="15.75" customHeight="1">
      <c r="A653" s="288"/>
      <c r="B653" s="173" t="s">
        <v>1911</v>
      </c>
      <c r="C653" s="173" t="s">
        <v>1912</v>
      </c>
      <c r="D653" s="173" t="s">
        <v>818</v>
      </c>
      <c r="E653" s="170" t="s">
        <v>701</v>
      </c>
      <c r="F653" s="174" t="s">
        <v>702</v>
      </c>
      <c r="G653" s="173" t="s">
        <v>726</v>
      </c>
      <c r="H653" s="175" t="s">
        <v>130</v>
      </c>
    </row>
    <row r="654" spans="1:8" ht="15.75" customHeight="1">
      <c r="A654" s="288"/>
      <c r="B654" s="176" t="s">
        <v>1913</v>
      </c>
      <c r="C654" s="176" t="s">
        <v>1914</v>
      </c>
      <c r="D654" s="176" t="s">
        <v>818</v>
      </c>
      <c r="E654" s="170" t="s">
        <v>701</v>
      </c>
      <c r="F654" s="177" t="s">
        <v>702</v>
      </c>
      <c r="G654" s="176" t="s">
        <v>726</v>
      </c>
      <c r="H654" s="178" t="s">
        <v>130</v>
      </c>
    </row>
    <row r="655" spans="1:8" ht="15.75" customHeight="1">
      <c r="A655" s="288"/>
      <c r="B655" s="173" t="s">
        <v>1915</v>
      </c>
      <c r="C655" s="173" t="s">
        <v>1916</v>
      </c>
      <c r="D655" s="173" t="s">
        <v>818</v>
      </c>
      <c r="E655" s="170" t="s">
        <v>701</v>
      </c>
      <c r="F655" s="174" t="s">
        <v>702</v>
      </c>
      <c r="G655" s="173" t="s">
        <v>709</v>
      </c>
      <c r="H655" s="175" t="s">
        <v>130</v>
      </c>
    </row>
    <row r="656" spans="1:8" ht="15.75" customHeight="1">
      <c r="A656" s="288"/>
      <c r="B656" s="176" t="s">
        <v>1917</v>
      </c>
      <c r="C656" s="176" t="s">
        <v>1918</v>
      </c>
      <c r="D656" s="176" t="s">
        <v>818</v>
      </c>
      <c r="E656" s="170" t="s">
        <v>701</v>
      </c>
      <c r="F656" s="177" t="s">
        <v>702</v>
      </c>
      <c r="G656" s="176" t="s">
        <v>745</v>
      </c>
      <c r="H656" s="178" t="s">
        <v>130</v>
      </c>
    </row>
    <row r="657" spans="1:8" ht="15.75" customHeight="1">
      <c r="A657" s="288"/>
      <c r="B657" s="173" t="s">
        <v>1919</v>
      </c>
      <c r="C657" s="173" t="s">
        <v>1920</v>
      </c>
      <c r="D657" s="173" t="s">
        <v>818</v>
      </c>
      <c r="E657" s="170" t="s">
        <v>701</v>
      </c>
      <c r="F657" s="174" t="s">
        <v>702</v>
      </c>
      <c r="G657" s="173" t="s">
        <v>864</v>
      </c>
      <c r="H657" s="175" t="s">
        <v>130</v>
      </c>
    </row>
    <row r="658" spans="1:8" ht="15.75" customHeight="1">
      <c r="A658" s="288"/>
      <c r="B658" s="176" t="s">
        <v>1921</v>
      </c>
      <c r="C658" s="176" t="s">
        <v>1922</v>
      </c>
      <c r="D658" s="176" t="s">
        <v>818</v>
      </c>
      <c r="E658" s="170" t="s">
        <v>701</v>
      </c>
      <c r="F658" s="177" t="s">
        <v>702</v>
      </c>
      <c r="G658" s="176" t="s">
        <v>703</v>
      </c>
      <c r="H658" s="178" t="s">
        <v>130</v>
      </c>
    </row>
    <row r="659" spans="1:8" ht="15.75" customHeight="1">
      <c r="A659" s="288"/>
      <c r="B659" s="173" t="s">
        <v>1923</v>
      </c>
      <c r="C659" s="173" t="s">
        <v>1924</v>
      </c>
      <c r="D659" s="173" t="s">
        <v>818</v>
      </c>
      <c r="E659" s="170" t="s">
        <v>701</v>
      </c>
      <c r="F659" s="174" t="s">
        <v>702</v>
      </c>
      <c r="G659" s="173" t="s">
        <v>703</v>
      </c>
      <c r="H659" s="175" t="s">
        <v>130</v>
      </c>
    </row>
    <row r="660" spans="1:8" ht="15.75" customHeight="1">
      <c r="A660" s="288"/>
      <c r="B660" s="176" t="s">
        <v>1925</v>
      </c>
      <c r="C660" s="176" t="s">
        <v>1926</v>
      </c>
      <c r="D660" s="176" t="s">
        <v>818</v>
      </c>
      <c r="E660" s="170" t="s">
        <v>701</v>
      </c>
      <c r="F660" s="177" t="s">
        <v>702</v>
      </c>
      <c r="G660" s="176" t="s">
        <v>703</v>
      </c>
      <c r="H660" s="178" t="s">
        <v>130</v>
      </c>
    </row>
    <row r="661" spans="1:8" ht="15.75" customHeight="1">
      <c r="A661" s="288"/>
      <c r="B661" s="173" t="s">
        <v>1927</v>
      </c>
      <c r="C661" s="173" t="s">
        <v>1928</v>
      </c>
      <c r="D661" s="173" t="s">
        <v>818</v>
      </c>
      <c r="E661" s="170" t="s">
        <v>701</v>
      </c>
      <c r="F661" s="174" t="s">
        <v>702</v>
      </c>
      <c r="G661" s="173" t="s">
        <v>703</v>
      </c>
      <c r="H661" s="175" t="s">
        <v>130</v>
      </c>
    </row>
    <row r="662" spans="1:8" ht="15.75" customHeight="1">
      <c r="A662" s="288"/>
      <c r="B662" s="176" t="s">
        <v>1929</v>
      </c>
      <c r="C662" s="176" t="s">
        <v>1930</v>
      </c>
      <c r="D662" s="176" t="s">
        <v>818</v>
      </c>
      <c r="E662" s="170" t="s">
        <v>701</v>
      </c>
      <c r="F662" s="177" t="s">
        <v>702</v>
      </c>
      <c r="G662" s="176" t="s">
        <v>703</v>
      </c>
      <c r="H662" s="178" t="s">
        <v>130</v>
      </c>
    </row>
    <row r="663" spans="1:8" ht="15.75" customHeight="1">
      <c r="A663" s="288"/>
      <c r="B663" s="173" t="s">
        <v>1931</v>
      </c>
      <c r="C663" s="173" t="s">
        <v>1932</v>
      </c>
      <c r="D663" s="173" t="s">
        <v>818</v>
      </c>
      <c r="E663" s="170" t="s">
        <v>701</v>
      </c>
      <c r="F663" s="174" t="s">
        <v>702</v>
      </c>
      <c r="G663" s="173" t="s">
        <v>703</v>
      </c>
      <c r="H663" s="175" t="s">
        <v>130</v>
      </c>
    </row>
    <row r="664" spans="1:8" ht="15.75" customHeight="1">
      <c r="A664" s="288"/>
      <c r="B664" s="176" t="s">
        <v>1933</v>
      </c>
      <c r="C664" s="176" t="s">
        <v>1934</v>
      </c>
      <c r="D664" s="176" t="s">
        <v>818</v>
      </c>
      <c r="E664" s="170" t="s">
        <v>701</v>
      </c>
      <c r="F664" s="177" t="s">
        <v>702</v>
      </c>
      <c r="G664" s="176" t="s">
        <v>706</v>
      </c>
      <c r="H664" s="178" t="s">
        <v>130</v>
      </c>
    </row>
    <row r="665" spans="1:8" ht="15.75" customHeight="1">
      <c r="A665" s="288"/>
      <c r="B665" s="173" t="s">
        <v>1935</v>
      </c>
      <c r="C665" s="173" t="s">
        <v>1936</v>
      </c>
      <c r="D665" s="173" t="s">
        <v>818</v>
      </c>
      <c r="E665" s="170" t="s">
        <v>701</v>
      </c>
      <c r="F665" s="174" t="s">
        <v>702</v>
      </c>
      <c r="G665" s="173" t="s">
        <v>703</v>
      </c>
      <c r="H665" s="175" t="s">
        <v>130</v>
      </c>
    </row>
    <row r="666" spans="1:8" ht="15.75" customHeight="1">
      <c r="A666" s="288"/>
      <c r="B666" s="176" t="s">
        <v>1937</v>
      </c>
      <c r="C666" s="176" t="s">
        <v>1938</v>
      </c>
      <c r="D666" s="176" t="s">
        <v>818</v>
      </c>
      <c r="E666" s="170" t="s">
        <v>701</v>
      </c>
      <c r="F666" s="177" t="s">
        <v>702</v>
      </c>
      <c r="G666" s="176" t="s">
        <v>703</v>
      </c>
      <c r="H666" s="178" t="s">
        <v>130</v>
      </c>
    </row>
    <row r="667" spans="1:8" ht="15.75" customHeight="1">
      <c r="A667" s="288"/>
      <c r="B667" s="173" t="s">
        <v>1939</v>
      </c>
      <c r="C667" s="173" t="s">
        <v>1940</v>
      </c>
      <c r="D667" s="173" t="s">
        <v>818</v>
      </c>
      <c r="E667" s="170" t="s">
        <v>701</v>
      </c>
      <c r="F667" s="174" t="s">
        <v>702</v>
      </c>
      <c r="G667" s="173" t="s">
        <v>726</v>
      </c>
      <c r="H667" s="175" t="s">
        <v>130</v>
      </c>
    </row>
    <row r="668" spans="1:8" ht="15.75" customHeight="1">
      <c r="A668" s="288"/>
      <c r="B668" s="176" t="s">
        <v>1941</v>
      </c>
      <c r="C668" s="176" t="s">
        <v>1942</v>
      </c>
      <c r="D668" s="176" t="s">
        <v>818</v>
      </c>
      <c r="E668" s="170" t="s">
        <v>701</v>
      </c>
      <c r="F668" s="177" t="s">
        <v>702</v>
      </c>
      <c r="G668" s="176" t="s">
        <v>703</v>
      </c>
      <c r="H668" s="178" t="s">
        <v>130</v>
      </c>
    </row>
    <row r="669" spans="1:8" ht="15.75" customHeight="1">
      <c r="A669" s="288"/>
      <c r="B669" s="173" t="s">
        <v>1943</v>
      </c>
      <c r="C669" s="173" t="s">
        <v>1944</v>
      </c>
      <c r="D669" s="173" t="s">
        <v>818</v>
      </c>
      <c r="E669" s="170" t="s">
        <v>701</v>
      </c>
      <c r="F669" s="174" t="s">
        <v>702</v>
      </c>
      <c r="G669" s="173" t="s">
        <v>703</v>
      </c>
      <c r="H669" s="175" t="s">
        <v>130</v>
      </c>
    </row>
    <row r="670" spans="1:8" ht="15.75" customHeight="1">
      <c r="A670" s="288"/>
      <c r="B670" s="176" t="s">
        <v>1945</v>
      </c>
      <c r="C670" s="176" t="s">
        <v>1946</v>
      </c>
      <c r="D670" s="176" t="s">
        <v>818</v>
      </c>
      <c r="E670" s="170" t="s">
        <v>701</v>
      </c>
      <c r="F670" s="177" t="s">
        <v>702</v>
      </c>
      <c r="G670" s="176" t="s">
        <v>703</v>
      </c>
      <c r="H670" s="178" t="s">
        <v>130</v>
      </c>
    </row>
    <row r="671" spans="1:8" ht="15.75" customHeight="1">
      <c r="A671" s="288"/>
      <c r="B671" s="173" t="s">
        <v>1947</v>
      </c>
      <c r="C671" s="173" t="s">
        <v>1948</v>
      </c>
      <c r="D671" s="173" t="s">
        <v>818</v>
      </c>
      <c r="E671" s="170" t="s">
        <v>701</v>
      </c>
      <c r="F671" s="174" t="s">
        <v>702</v>
      </c>
      <c r="G671" s="173" t="s">
        <v>703</v>
      </c>
      <c r="H671" s="175" t="s">
        <v>130</v>
      </c>
    </row>
    <row r="672" spans="1:8" ht="15.75" customHeight="1">
      <c r="A672" s="288"/>
      <c r="B672" s="176" t="s">
        <v>1949</v>
      </c>
      <c r="C672" s="176" t="s">
        <v>1950</v>
      </c>
      <c r="D672" s="176" t="s">
        <v>818</v>
      </c>
      <c r="E672" s="170" t="s">
        <v>701</v>
      </c>
      <c r="F672" s="177" t="s">
        <v>702</v>
      </c>
      <c r="G672" s="176" t="s">
        <v>703</v>
      </c>
      <c r="H672" s="178" t="s">
        <v>130</v>
      </c>
    </row>
    <row r="673" spans="1:8" ht="15.75" customHeight="1">
      <c r="A673" s="288"/>
      <c r="B673" s="173" t="s">
        <v>1951</v>
      </c>
      <c r="C673" s="173" t="s">
        <v>1952</v>
      </c>
      <c r="D673" s="173" t="s">
        <v>818</v>
      </c>
      <c r="E673" s="170" t="s">
        <v>701</v>
      </c>
      <c r="F673" s="174" t="s">
        <v>702</v>
      </c>
      <c r="G673" s="173" t="s">
        <v>703</v>
      </c>
      <c r="H673" s="175" t="s">
        <v>130</v>
      </c>
    </row>
    <row r="674" spans="1:8" ht="15.75" customHeight="1">
      <c r="A674" s="288"/>
      <c r="B674" s="176" t="s">
        <v>1953</v>
      </c>
      <c r="C674" s="176" t="s">
        <v>1954</v>
      </c>
      <c r="D674" s="176" t="s">
        <v>818</v>
      </c>
      <c r="E674" s="170" t="s">
        <v>701</v>
      </c>
      <c r="F674" s="177" t="s">
        <v>702</v>
      </c>
      <c r="G674" s="176" t="s">
        <v>703</v>
      </c>
      <c r="H674" s="178" t="s">
        <v>130</v>
      </c>
    </row>
    <row r="675" spans="1:8" ht="15.75" customHeight="1">
      <c r="A675" s="288"/>
      <c r="B675" s="173" t="s">
        <v>1955</v>
      </c>
      <c r="C675" s="173" t="s">
        <v>1956</v>
      </c>
      <c r="D675" s="173" t="s">
        <v>818</v>
      </c>
      <c r="E675" s="170" t="s">
        <v>701</v>
      </c>
      <c r="F675" s="174" t="s">
        <v>702</v>
      </c>
      <c r="G675" s="173" t="s">
        <v>703</v>
      </c>
      <c r="H675" s="175" t="s">
        <v>130</v>
      </c>
    </row>
    <row r="676" spans="1:8" ht="15.75" customHeight="1">
      <c r="A676" s="288"/>
      <c r="B676" s="176" t="s">
        <v>1957</v>
      </c>
      <c r="C676" s="176" t="s">
        <v>1958</v>
      </c>
      <c r="D676" s="176" t="s">
        <v>818</v>
      </c>
      <c r="E676" s="170" t="s">
        <v>701</v>
      </c>
      <c r="F676" s="177" t="s">
        <v>702</v>
      </c>
      <c r="G676" s="176" t="s">
        <v>726</v>
      </c>
      <c r="H676" s="178" t="s">
        <v>130</v>
      </c>
    </row>
    <row r="677" spans="1:8" ht="15.75" customHeight="1">
      <c r="A677" s="288"/>
      <c r="B677" s="173" t="s">
        <v>1959</v>
      </c>
      <c r="C677" s="173" t="s">
        <v>1960</v>
      </c>
      <c r="D677" s="173" t="s">
        <v>818</v>
      </c>
      <c r="E677" s="170" t="s">
        <v>701</v>
      </c>
      <c r="F677" s="174" t="s">
        <v>702</v>
      </c>
      <c r="G677" s="173" t="s">
        <v>703</v>
      </c>
      <c r="H677" s="175" t="s">
        <v>130</v>
      </c>
    </row>
    <row r="678" spans="1:8" ht="15.75" customHeight="1">
      <c r="A678" s="288"/>
      <c r="B678" s="176" t="s">
        <v>1961</v>
      </c>
      <c r="C678" s="176" t="s">
        <v>1962</v>
      </c>
      <c r="D678" s="176" t="s">
        <v>818</v>
      </c>
      <c r="E678" s="170" t="s">
        <v>701</v>
      </c>
      <c r="F678" s="177" t="s">
        <v>702</v>
      </c>
      <c r="G678" s="176" t="s">
        <v>706</v>
      </c>
      <c r="H678" s="178" t="s">
        <v>130</v>
      </c>
    </row>
    <row r="679" spans="1:8" ht="15.75" customHeight="1">
      <c r="A679" s="288"/>
      <c r="B679" s="173" t="s">
        <v>1963</v>
      </c>
      <c r="C679" s="173" t="s">
        <v>1964</v>
      </c>
      <c r="D679" s="173" t="s">
        <v>818</v>
      </c>
      <c r="E679" s="170" t="s">
        <v>701</v>
      </c>
      <c r="F679" s="174" t="s">
        <v>702</v>
      </c>
      <c r="G679" s="173" t="s">
        <v>726</v>
      </c>
      <c r="H679" s="175" t="s">
        <v>130</v>
      </c>
    </row>
    <row r="680" spans="1:8" ht="15.75" customHeight="1">
      <c r="A680" s="288"/>
      <c r="B680" s="176" t="s">
        <v>1965</v>
      </c>
      <c r="C680" s="176" t="s">
        <v>1966</v>
      </c>
      <c r="D680" s="176" t="s">
        <v>818</v>
      </c>
      <c r="E680" s="170" t="s">
        <v>701</v>
      </c>
      <c r="F680" s="177" t="s">
        <v>702</v>
      </c>
      <c r="G680" s="176" t="s">
        <v>706</v>
      </c>
      <c r="H680" s="178" t="s">
        <v>130</v>
      </c>
    </row>
    <row r="681" spans="1:8" ht="15.75" customHeight="1">
      <c r="A681" s="288"/>
      <c r="B681" s="173" t="s">
        <v>1967</v>
      </c>
      <c r="C681" s="173" t="s">
        <v>1968</v>
      </c>
      <c r="D681" s="173" t="s">
        <v>818</v>
      </c>
      <c r="E681" s="170" t="s">
        <v>701</v>
      </c>
      <c r="F681" s="174" t="s">
        <v>702</v>
      </c>
      <c r="G681" s="173" t="s">
        <v>709</v>
      </c>
      <c r="H681" s="175" t="s">
        <v>130</v>
      </c>
    </row>
    <row r="682" spans="1:8" ht="15.75" customHeight="1">
      <c r="A682" s="288"/>
      <c r="B682" s="176" t="s">
        <v>1969</v>
      </c>
      <c r="C682" s="176" t="s">
        <v>1970</v>
      </c>
      <c r="D682" s="176" t="s">
        <v>818</v>
      </c>
      <c r="E682" s="170" t="s">
        <v>701</v>
      </c>
      <c r="F682" s="177" t="s">
        <v>702</v>
      </c>
      <c r="G682" s="176" t="s">
        <v>703</v>
      </c>
      <c r="H682" s="178" t="s">
        <v>130</v>
      </c>
    </row>
    <row r="683" spans="1:8" ht="15.75" customHeight="1">
      <c r="A683" s="288"/>
      <c r="B683" s="173" t="s">
        <v>1971</v>
      </c>
      <c r="C683" s="173" t="s">
        <v>1972</v>
      </c>
      <c r="D683" s="173" t="s">
        <v>818</v>
      </c>
      <c r="E683" s="170" t="s">
        <v>701</v>
      </c>
      <c r="F683" s="174" t="s">
        <v>702</v>
      </c>
      <c r="G683" s="173" t="s">
        <v>706</v>
      </c>
      <c r="H683" s="175" t="s">
        <v>130</v>
      </c>
    </row>
    <row r="684" spans="1:8" ht="15.75" customHeight="1">
      <c r="A684" s="288"/>
      <c r="B684" s="176" t="s">
        <v>1973</v>
      </c>
      <c r="C684" s="176" t="s">
        <v>1974</v>
      </c>
      <c r="D684" s="176" t="s">
        <v>818</v>
      </c>
      <c r="E684" s="170" t="s">
        <v>701</v>
      </c>
      <c r="F684" s="177" t="s">
        <v>702</v>
      </c>
      <c r="G684" s="176" t="s">
        <v>706</v>
      </c>
      <c r="H684" s="178" t="s">
        <v>130</v>
      </c>
    </row>
    <row r="685" spans="1:8" ht="15.75" customHeight="1">
      <c r="A685" s="288"/>
      <c r="B685" s="173" t="s">
        <v>1975</v>
      </c>
      <c r="C685" s="173" t="s">
        <v>1976</v>
      </c>
      <c r="D685" s="173" t="s">
        <v>818</v>
      </c>
      <c r="E685" s="170" t="s">
        <v>701</v>
      </c>
      <c r="F685" s="174" t="s">
        <v>702</v>
      </c>
      <c r="G685" s="173" t="s">
        <v>703</v>
      </c>
      <c r="H685" s="175" t="s">
        <v>130</v>
      </c>
    </row>
    <row r="686" spans="1:8" ht="15.75" customHeight="1">
      <c r="A686" s="288"/>
      <c r="B686" s="176" t="s">
        <v>1977</v>
      </c>
      <c r="C686" s="184" t="s">
        <v>1978</v>
      </c>
      <c r="D686" s="176" t="s">
        <v>818</v>
      </c>
      <c r="E686" s="170" t="s">
        <v>701</v>
      </c>
      <c r="F686" s="177" t="s">
        <v>702</v>
      </c>
      <c r="G686" s="176" t="s">
        <v>703</v>
      </c>
      <c r="H686" s="178" t="s">
        <v>130</v>
      </c>
    </row>
    <row r="687" spans="1:8" ht="15.75" customHeight="1">
      <c r="A687" s="288"/>
      <c r="B687" s="173" t="s">
        <v>1979</v>
      </c>
      <c r="C687" s="173" t="s">
        <v>1980</v>
      </c>
      <c r="D687" s="173" t="s">
        <v>818</v>
      </c>
      <c r="E687" s="170" t="s">
        <v>701</v>
      </c>
      <c r="F687" s="174" t="s">
        <v>702</v>
      </c>
      <c r="G687" s="173" t="s">
        <v>703</v>
      </c>
      <c r="H687" s="175" t="s">
        <v>130</v>
      </c>
    </row>
    <row r="688" spans="1:8" ht="15.75" customHeight="1">
      <c r="A688" s="288"/>
      <c r="B688" s="176" t="s">
        <v>1981</v>
      </c>
      <c r="C688" s="176" t="s">
        <v>1982</v>
      </c>
      <c r="D688" s="176" t="s">
        <v>818</v>
      </c>
      <c r="E688" s="170" t="s">
        <v>701</v>
      </c>
      <c r="F688" s="177" t="s">
        <v>702</v>
      </c>
      <c r="G688" s="176" t="s">
        <v>723</v>
      </c>
      <c r="H688" s="178" t="s">
        <v>130</v>
      </c>
    </row>
    <row r="689" spans="1:8" ht="15.75" customHeight="1">
      <c r="A689" s="288"/>
      <c r="B689" s="173" t="s">
        <v>1983</v>
      </c>
      <c r="C689" s="173" t="s">
        <v>1984</v>
      </c>
      <c r="D689" s="173" t="s">
        <v>818</v>
      </c>
      <c r="E689" s="170" t="s">
        <v>701</v>
      </c>
      <c r="F689" s="174" t="s">
        <v>702</v>
      </c>
      <c r="G689" s="173" t="s">
        <v>709</v>
      </c>
      <c r="H689" s="175" t="s">
        <v>130</v>
      </c>
    </row>
    <row r="690" spans="1:8" ht="15.75" customHeight="1">
      <c r="A690" s="288"/>
      <c r="B690" s="176" t="s">
        <v>1985</v>
      </c>
      <c r="C690" s="176" t="s">
        <v>1986</v>
      </c>
      <c r="D690" s="176" t="s">
        <v>818</v>
      </c>
      <c r="E690" s="170" t="s">
        <v>701</v>
      </c>
      <c r="F690" s="177" t="s">
        <v>702</v>
      </c>
      <c r="G690" s="176" t="s">
        <v>709</v>
      </c>
      <c r="H690" s="178" t="s">
        <v>130</v>
      </c>
    </row>
    <row r="691" spans="1:8" ht="15.75" customHeight="1">
      <c r="A691" s="288"/>
      <c r="B691" s="173" t="s">
        <v>1987</v>
      </c>
      <c r="C691" s="173" t="s">
        <v>1988</v>
      </c>
      <c r="D691" s="173" t="s">
        <v>818</v>
      </c>
      <c r="E691" s="170" t="s">
        <v>701</v>
      </c>
      <c r="F691" s="174" t="s">
        <v>702</v>
      </c>
      <c r="G691" s="173" t="s">
        <v>726</v>
      </c>
      <c r="H691" s="175" t="s">
        <v>130</v>
      </c>
    </row>
    <row r="692" spans="1:8" ht="15.75" customHeight="1">
      <c r="A692" s="288"/>
      <c r="B692" s="176" t="s">
        <v>1989</v>
      </c>
      <c r="C692" s="176" t="s">
        <v>1990</v>
      </c>
      <c r="D692" s="176" t="s">
        <v>818</v>
      </c>
      <c r="E692" s="170" t="s">
        <v>701</v>
      </c>
      <c r="F692" s="177" t="s">
        <v>702</v>
      </c>
      <c r="G692" s="176" t="s">
        <v>709</v>
      </c>
      <c r="H692" s="178" t="s">
        <v>130</v>
      </c>
    </row>
    <row r="693" spans="1:8" ht="15.75" customHeight="1">
      <c r="A693" s="288"/>
      <c r="B693" s="173" t="s">
        <v>1991</v>
      </c>
      <c r="C693" s="173" t="s">
        <v>1992</v>
      </c>
      <c r="D693" s="173" t="s">
        <v>818</v>
      </c>
      <c r="E693" s="170" t="s">
        <v>701</v>
      </c>
      <c r="F693" s="174" t="s">
        <v>702</v>
      </c>
      <c r="G693" s="173" t="s">
        <v>706</v>
      </c>
      <c r="H693" s="175" t="s">
        <v>130</v>
      </c>
    </row>
    <row r="694" spans="1:8" ht="15.75" customHeight="1">
      <c r="A694" s="288"/>
      <c r="B694" s="176" t="s">
        <v>1993</v>
      </c>
      <c r="C694" s="176" t="s">
        <v>1994</v>
      </c>
      <c r="D694" s="176" t="s">
        <v>818</v>
      </c>
      <c r="E694" s="170" t="s">
        <v>701</v>
      </c>
      <c r="F694" s="177" t="s">
        <v>702</v>
      </c>
      <c r="G694" s="176" t="s">
        <v>709</v>
      </c>
      <c r="H694" s="178" t="s">
        <v>130</v>
      </c>
    </row>
    <row r="695" spans="1:8" ht="15.75" customHeight="1">
      <c r="A695" s="288"/>
      <c r="B695" s="173" t="s">
        <v>1995</v>
      </c>
      <c r="C695" s="173" t="s">
        <v>1996</v>
      </c>
      <c r="D695" s="173" t="s">
        <v>818</v>
      </c>
      <c r="E695" s="170" t="s">
        <v>701</v>
      </c>
      <c r="F695" s="174" t="s">
        <v>702</v>
      </c>
      <c r="G695" s="173" t="s">
        <v>703</v>
      </c>
      <c r="H695" s="175" t="s">
        <v>130</v>
      </c>
    </row>
    <row r="696" spans="1:8" ht="15.75" customHeight="1">
      <c r="A696" s="288"/>
      <c r="B696" s="176" t="s">
        <v>1997</v>
      </c>
      <c r="C696" s="176" t="s">
        <v>1998</v>
      </c>
      <c r="D696" s="176" t="s">
        <v>818</v>
      </c>
      <c r="E696" s="170" t="s">
        <v>701</v>
      </c>
      <c r="F696" s="177" t="s">
        <v>702</v>
      </c>
      <c r="G696" s="176" t="s">
        <v>726</v>
      </c>
      <c r="H696" s="178" t="s">
        <v>130</v>
      </c>
    </row>
    <row r="697" spans="1:8" ht="15.75" customHeight="1">
      <c r="A697" s="288"/>
      <c r="B697" s="173" t="s">
        <v>1999</v>
      </c>
      <c r="C697" s="173" t="s">
        <v>2000</v>
      </c>
      <c r="D697" s="173" t="s">
        <v>818</v>
      </c>
      <c r="E697" s="170" t="s">
        <v>701</v>
      </c>
      <c r="F697" s="174" t="s">
        <v>702</v>
      </c>
      <c r="G697" s="173" t="s">
        <v>2001</v>
      </c>
      <c r="H697" s="175" t="s">
        <v>130</v>
      </c>
    </row>
    <row r="698" spans="1:8" ht="15.75" customHeight="1">
      <c r="A698" s="288"/>
      <c r="B698" s="176" t="s">
        <v>2002</v>
      </c>
      <c r="C698" s="176" t="s">
        <v>2003</v>
      </c>
      <c r="D698" s="176" t="s">
        <v>818</v>
      </c>
      <c r="E698" s="170" t="s">
        <v>701</v>
      </c>
      <c r="F698" s="177" t="s">
        <v>702</v>
      </c>
      <c r="G698" s="176" t="s">
        <v>706</v>
      </c>
      <c r="H698" s="178" t="s">
        <v>130</v>
      </c>
    </row>
    <row r="699" spans="1:8" ht="15.75" customHeight="1">
      <c r="A699" s="288"/>
      <c r="B699" s="173" t="s">
        <v>2004</v>
      </c>
      <c r="C699" s="173" t="s">
        <v>2005</v>
      </c>
      <c r="D699" s="173" t="s">
        <v>818</v>
      </c>
      <c r="E699" s="170" t="s">
        <v>701</v>
      </c>
      <c r="F699" s="174" t="s">
        <v>702</v>
      </c>
      <c r="G699" s="173" t="s">
        <v>703</v>
      </c>
      <c r="H699" s="175" t="s">
        <v>130</v>
      </c>
    </row>
    <row r="700" spans="1:8" ht="15.75" customHeight="1">
      <c r="A700" s="288"/>
      <c r="B700" s="176" t="s">
        <v>2006</v>
      </c>
      <c r="C700" s="176" t="s">
        <v>2007</v>
      </c>
      <c r="D700" s="176" t="s">
        <v>818</v>
      </c>
      <c r="E700" s="170" t="s">
        <v>701</v>
      </c>
      <c r="F700" s="177" t="s">
        <v>702</v>
      </c>
      <c r="G700" s="176" t="s">
        <v>706</v>
      </c>
      <c r="H700" s="178" t="s">
        <v>130</v>
      </c>
    </row>
    <row r="701" spans="1:8" ht="15.75" customHeight="1">
      <c r="A701" s="288"/>
      <c r="B701" s="173" t="s">
        <v>2008</v>
      </c>
      <c r="C701" s="173" t="s">
        <v>2009</v>
      </c>
      <c r="D701" s="173" t="s">
        <v>818</v>
      </c>
      <c r="E701" s="170" t="s">
        <v>701</v>
      </c>
      <c r="F701" s="174" t="s">
        <v>702</v>
      </c>
      <c r="G701" s="173" t="s">
        <v>726</v>
      </c>
      <c r="H701" s="175" t="s">
        <v>130</v>
      </c>
    </row>
    <row r="702" spans="1:8" ht="15.75" customHeight="1">
      <c r="A702" s="288"/>
      <c r="B702" s="176" t="s">
        <v>2010</v>
      </c>
      <c r="C702" s="176" t="s">
        <v>2011</v>
      </c>
      <c r="D702" s="176" t="s">
        <v>818</v>
      </c>
      <c r="E702" s="170" t="s">
        <v>701</v>
      </c>
      <c r="F702" s="177" t="s">
        <v>702</v>
      </c>
      <c r="G702" s="176" t="s">
        <v>864</v>
      </c>
      <c r="H702" s="178" t="s">
        <v>130</v>
      </c>
    </row>
    <row r="703" spans="1:8" ht="15.75" customHeight="1">
      <c r="A703" s="288"/>
      <c r="B703" s="173" t="s">
        <v>2012</v>
      </c>
      <c r="C703" s="173" t="s">
        <v>2013</v>
      </c>
      <c r="D703" s="173" t="s">
        <v>818</v>
      </c>
      <c r="E703" s="170" t="s">
        <v>701</v>
      </c>
      <c r="F703" s="174" t="s">
        <v>702</v>
      </c>
      <c r="G703" s="173" t="s">
        <v>703</v>
      </c>
      <c r="H703" s="175" t="s">
        <v>130</v>
      </c>
    </row>
    <row r="704" spans="1:8" ht="15.75" customHeight="1">
      <c r="A704" s="288"/>
      <c r="B704" s="176" t="s">
        <v>2014</v>
      </c>
      <c r="C704" s="176" t="s">
        <v>2015</v>
      </c>
      <c r="D704" s="176" t="s">
        <v>818</v>
      </c>
      <c r="E704" s="170" t="s">
        <v>701</v>
      </c>
      <c r="F704" s="177" t="s">
        <v>702</v>
      </c>
      <c r="G704" s="176" t="s">
        <v>703</v>
      </c>
      <c r="H704" s="178" t="s">
        <v>130</v>
      </c>
    </row>
    <row r="705" spans="1:8" ht="15.75" customHeight="1">
      <c r="A705" s="288"/>
      <c r="B705" s="173" t="s">
        <v>2016</v>
      </c>
      <c r="C705" s="173" t="s">
        <v>2017</v>
      </c>
      <c r="D705" s="173" t="s">
        <v>818</v>
      </c>
      <c r="E705" s="170" t="s">
        <v>701</v>
      </c>
      <c r="F705" s="174" t="s">
        <v>702</v>
      </c>
      <c r="G705" s="173" t="s">
        <v>703</v>
      </c>
      <c r="H705" s="175" t="s">
        <v>130</v>
      </c>
    </row>
    <row r="706" spans="1:8" ht="15.75" customHeight="1">
      <c r="A706" s="288"/>
      <c r="B706" s="176" t="s">
        <v>2018</v>
      </c>
      <c r="C706" s="176" t="s">
        <v>2019</v>
      </c>
      <c r="D706" s="176" t="s">
        <v>818</v>
      </c>
      <c r="E706" s="170" t="s">
        <v>701</v>
      </c>
      <c r="F706" s="177" t="s">
        <v>702</v>
      </c>
      <c r="G706" s="176" t="s">
        <v>726</v>
      </c>
      <c r="H706" s="178" t="s">
        <v>130</v>
      </c>
    </row>
    <row r="707" spans="1:8" ht="15.75" customHeight="1">
      <c r="A707" s="288"/>
      <c r="B707" s="173" t="s">
        <v>2020</v>
      </c>
      <c r="C707" s="173" t="s">
        <v>2021</v>
      </c>
      <c r="D707" s="173" t="s">
        <v>818</v>
      </c>
      <c r="E707" s="170" t="s">
        <v>701</v>
      </c>
      <c r="F707" s="174" t="s">
        <v>702</v>
      </c>
      <c r="G707" s="173" t="s">
        <v>703</v>
      </c>
      <c r="H707" s="175" t="s">
        <v>130</v>
      </c>
    </row>
    <row r="708" spans="1:8" ht="15.75" customHeight="1">
      <c r="A708" s="288"/>
      <c r="B708" s="176" t="s">
        <v>2022</v>
      </c>
      <c r="C708" s="176" t="s">
        <v>2023</v>
      </c>
      <c r="D708" s="176" t="s">
        <v>818</v>
      </c>
      <c r="E708" s="170" t="s">
        <v>701</v>
      </c>
      <c r="F708" s="177" t="s">
        <v>702</v>
      </c>
      <c r="G708" s="176" t="s">
        <v>726</v>
      </c>
      <c r="H708" s="178" t="s">
        <v>130</v>
      </c>
    </row>
    <row r="709" spans="1:8" ht="15.75" customHeight="1">
      <c r="A709" s="288"/>
      <c r="B709" s="173" t="s">
        <v>2024</v>
      </c>
      <c r="C709" s="173" t="s">
        <v>2025</v>
      </c>
      <c r="D709" s="173" t="s">
        <v>818</v>
      </c>
      <c r="E709" s="170" t="s">
        <v>701</v>
      </c>
      <c r="F709" s="174" t="s">
        <v>702</v>
      </c>
      <c r="G709" s="173" t="s">
        <v>726</v>
      </c>
      <c r="H709" s="175" t="s">
        <v>130</v>
      </c>
    </row>
    <row r="710" spans="1:8" ht="15.75" customHeight="1">
      <c r="A710" s="288"/>
      <c r="B710" s="176" t="s">
        <v>2026</v>
      </c>
      <c r="C710" s="184" t="s">
        <v>2027</v>
      </c>
      <c r="D710" s="176" t="s">
        <v>818</v>
      </c>
      <c r="E710" s="170" t="s">
        <v>701</v>
      </c>
      <c r="F710" s="177" t="s">
        <v>702</v>
      </c>
      <c r="G710" s="176" t="s">
        <v>709</v>
      </c>
      <c r="H710" s="178" t="s">
        <v>130</v>
      </c>
    </row>
    <row r="711" spans="1:8" ht="15.75" customHeight="1">
      <c r="A711" s="288"/>
      <c r="B711" s="173" t="s">
        <v>2028</v>
      </c>
      <c r="C711" s="173" t="s">
        <v>2029</v>
      </c>
      <c r="D711" s="173" t="s">
        <v>818</v>
      </c>
      <c r="E711" s="170" t="s">
        <v>701</v>
      </c>
      <c r="F711" s="174" t="s">
        <v>702</v>
      </c>
      <c r="G711" s="173" t="s">
        <v>709</v>
      </c>
      <c r="H711" s="175" t="s">
        <v>130</v>
      </c>
    </row>
    <row r="712" spans="1:8" ht="15.75" customHeight="1">
      <c r="A712" s="289"/>
      <c r="B712" s="176" t="s">
        <v>2030</v>
      </c>
      <c r="C712" s="176" t="s">
        <v>2031</v>
      </c>
      <c r="D712" s="176" t="s">
        <v>818</v>
      </c>
      <c r="E712" s="170" t="s">
        <v>701</v>
      </c>
      <c r="F712" s="177" t="s">
        <v>702</v>
      </c>
      <c r="G712" s="176" t="s">
        <v>709</v>
      </c>
      <c r="H712" s="178" t="s">
        <v>130</v>
      </c>
    </row>
    <row r="713" spans="1:8" ht="15.75" customHeight="1">
      <c r="A713" s="287" t="s">
        <v>2032</v>
      </c>
      <c r="B713" s="283" t="s">
        <v>2033</v>
      </c>
      <c r="C713" s="283" t="s">
        <v>2034</v>
      </c>
      <c r="D713" s="283" t="s">
        <v>818</v>
      </c>
      <c r="E713" s="183" t="s">
        <v>701</v>
      </c>
      <c r="F713" s="290" t="s">
        <v>932</v>
      </c>
      <c r="G713" s="283" t="s">
        <v>706</v>
      </c>
      <c r="H713" s="285" t="s">
        <v>2035</v>
      </c>
    </row>
    <row r="714" spans="1:8" ht="15.75" customHeight="1">
      <c r="A714" s="289"/>
      <c r="B714" s="284"/>
      <c r="C714" s="284"/>
      <c r="D714" s="284"/>
      <c r="E714" s="170"/>
      <c r="F714" s="284"/>
      <c r="G714" s="284"/>
      <c r="H714" s="286"/>
    </row>
    <row r="715" spans="1:8" ht="15.75" customHeight="1">
      <c r="A715" s="287" t="s">
        <v>2036</v>
      </c>
      <c r="B715" s="176" t="s">
        <v>2037</v>
      </c>
      <c r="C715" s="176" t="s">
        <v>2038</v>
      </c>
      <c r="D715" s="176" t="s">
        <v>931</v>
      </c>
      <c r="E715" s="170" t="s">
        <v>701</v>
      </c>
      <c r="F715" s="177" t="s">
        <v>702</v>
      </c>
      <c r="G715" s="176" t="s">
        <v>726</v>
      </c>
      <c r="H715" s="178" t="s">
        <v>130</v>
      </c>
    </row>
    <row r="716" spans="1:8" ht="15.75" customHeight="1">
      <c r="A716" s="288"/>
      <c r="B716" s="173" t="s">
        <v>2039</v>
      </c>
      <c r="C716" s="173" t="s">
        <v>2040</v>
      </c>
      <c r="D716" s="173" t="s">
        <v>931</v>
      </c>
      <c r="E716" s="170" t="s">
        <v>701</v>
      </c>
      <c r="F716" s="174" t="s">
        <v>702</v>
      </c>
      <c r="G716" s="173" t="s">
        <v>703</v>
      </c>
      <c r="H716" s="175" t="s">
        <v>130</v>
      </c>
    </row>
    <row r="717" spans="1:8" ht="15.75" customHeight="1">
      <c r="A717" s="288"/>
      <c r="B717" s="176" t="s">
        <v>2041</v>
      </c>
      <c r="C717" s="176" t="s">
        <v>2042</v>
      </c>
      <c r="D717" s="176" t="s">
        <v>818</v>
      </c>
      <c r="E717" s="170" t="s">
        <v>701</v>
      </c>
      <c r="F717" s="177" t="s">
        <v>702</v>
      </c>
      <c r="G717" s="176" t="s">
        <v>709</v>
      </c>
      <c r="H717" s="178" t="s">
        <v>130</v>
      </c>
    </row>
    <row r="718" spans="1:8" ht="15.75" customHeight="1">
      <c r="A718" s="288"/>
      <c r="B718" s="173" t="s">
        <v>2043</v>
      </c>
      <c r="C718" s="173" t="s">
        <v>2044</v>
      </c>
      <c r="D718" s="173" t="s">
        <v>931</v>
      </c>
      <c r="E718" s="170" t="s">
        <v>701</v>
      </c>
      <c r="F718" s="174" t="s">
        <v>702</v>
      </c>
      <c r="G718" s="173" t="s">
        <v>703</v>
      </c>
      <c r="H718" s="175" t="s">
        <v>130</v>
      </c>
    </row>
    <row r="719" spans="1:8" ht="15.75" customHeight="1">
      <c r="A719" s="288"/>
      <c r="B719" s="176" t="s">
        <v>2045</v>
      </c>
      <c r="C719" s="176" t="s">
        <v>2046</v>
      </c>
      <c r="D719" s="176" t="s">
        <v>818</v>
      </c>
      <c r="E719" s="170" t="s">
        <v>701</v>
      </c>
      <c r="F719" s="177" t="s">
        <v>702</v>
      </c>
      <c r="G719" s="176" t="s">
        <v>703</v>
      </c>
      <c r="H719" s="178" t="s">
        <v>130</v>
      </c>
    </row>
    <row r="720" spans="1:8" ht="15.75" customHeight="1">
      <c r="A720" s="288"/>
      <c r="B720" s="173" t="s">
        <v>2047</v>
      </c>
      <c r="C720" s="173" t="s">
        <v>2048</v>
      </c>
      <c r="D720" s="173" t="s">
        <v>931</v>
      </c>
      <c r="E720" s="170" t="s">
        <v>701</v>
      </c>
      <c r="F720" s="174" t="s">
        <v>702</v>
      </c>
      <c r="G720" s="173" t="s">
        <v>709</v>
      </c>
      <c r="H720" s="175" t="s">
        <v>130</v>
      </c>
    </row>
    <row r="721" spans="1:8" ht="15.75" customHeight="1">
      <c r="A721" s="288"/>
      <c r="B721" s="176" t="s">
        <v>2049</v>
      </c>
      <c r="C721" s="176" t="s">
        <v>2050</v>
      </c>
      <c r="D721" s="176" t="s">
        <v>818</v>
      </c>
      <c r="E721" s="170" t="s">
        <v>701</v>
      </c>
      <c r="F721" s="177" t="s">
        <v>702</v>
      </c>
      <c r="G721" s="176" t="s">
        <v>709</v>
      </c>
      <c r="H721" s="178" t="s">
        <v>130</v>
      </c>
    </row>
    <row r="722" spans="1:8" ht="15.75" customHeight="1">
      <c r="A722" s="288"/>
      <c r="B722" s="173" t="s">
        <v>2051</v>
      </c>
      <c r="C722" s="173" t="s">
        <v>2052</v>
      </c>
      <c r="D722" s="173" t="s">
        <v>931</v>
      </c>
      <c r="E722" s="170" t="s">
        <v>701</v>
      </c>
      <c r="F722" s="174" t="s">
        <v>702</v>
      </c>
      <c r="G722" s="173" t="s">
        <v>709</v>
      </c>
      <c r="H722" s="175" t="s">
        <v>130</v>
      </c>
    </row>
    <row r="723" spans="1:8" ht="15.75" customHeight="1">
      <c r="A723" s="288"/>
      <c r="B723" s="176" t="s">
        <v>2053</v>
      </c>
      <c r="C723" s="176" t="s">
        <v>2054</v>
      </c>
      <c r="D723" s="176" t="s">
        <v>818</v>
      </c>
      <c r="E723" s="170" t="s">
        <v>701</v>
      </c>
      <c r="F723" s="177" t="s">
        <v>702</v>
      </c>
      <c r="G723" s="176" t="s">
        <v>703</v>
      </c>
      <c r="H723" s="178" t="s">
        <v>130</v>
      </c>
    </row>
    <row r="724" spans="1:8" ht="15.75" customHeight="1">
      <c r="A724" s="288"/>
      <c r="B724" s="173" t="s">
        <v>2055</v>
      </c>
      <c r="C724" s="173" t="s">
        <v>2056</v>
      </c>
      <c r="D724" s="173" t="s">
        <v>931</v>
      </c>
      <c r="E724" s="170" t="s">
        <v>701</v>
      </c>
      <c r="F724" s="174" t="s">
        <v>702</v>
      </c>
      <c r="G724" s="173" t="s">
        <v>703</v>
      </c>
      <c r="H724" s="175" t="s">
        <v>130</v>
      </c>
    </row>
    <row r="725" spans="1:8" ht="15.75" customHeight="1">
      <c r="A725" s="288"/>
      <c r="B725" s="176" t="s">
        <v>2057</v>
      </c>
      <c r="C725" s="176" t="s">
        <v>2058</v>
      </c>
      <c r="D725" s="176" t="s">
        <v>818</v>
      </c>
      <c r="E725" s="170" t="s">
        <v>701</v>
      </c>
      <c r="F725" s="177" t="s">
        <v>932</v>
      </c>
      <c r="G725" s="176" t="s">
        <v>709</v>
      </c>
      <c r="H725" s="178" t="s">
        <v>130</v>
      </c>
    </row>
    <row r="726" spans="1:8" ht="15.75" customHeight="1">
      <c r="A726" s="288"/>
      <c r="B726" s="173" t="s">
        <v>2059</v>
      </c>
      <c r="C726" s="173" t="s">
        <v>2060</v>
      </c>
      <c r="D726" s="173" t="s">
        <v>931</v>
      </c>
      <c r="E726" s="170" t="s">
        <v>701</v>
      </c>
      <c r="F726" s="174" t="s">
        <v>932</v>
      </c>
      <c r="G726" s="173" t="s">
        <v>726</v>
      </c>
      <c r="H726" s="175" t="s">
        <v>130</v>
      </c>
    </row>
    <row r="727" spans="1:8" ht="15.75" customHeight="1">
      <c r="A727" s="288"/>
      <c r="B727" s="176" t="s">
        <v>2061</v>
      </c>
      <c r="C727" s="176" t="s">
        <v>2062</v>
      </c>
      <c r="D727" s="176" t="s">
        <v>818</v>
      </c>
      <c r="E727" s="170" t="s">
        <v>701</v>
      </c>
      <c r="F727" s="177" t="s">
        <v>932</v>
      </c>
      <c r="G727" s="176" t="s">
        <v>706</v>
      </c>
      <c r="H727" s="178" t="s">
        <v>1721</v>
      </c>
    </row>
    <row r="728" spans="1:8" ht="15.75" customHeight="1">
      <c r="A728" s="288"/>
      <c r="B728" s="173" t="s">
        <v>2063</v>
      </c>
      <c r="C728" s="173" t="s">
        <v>2064</v>
      </c>
      <c r="D728" s="173" t="s">
        <v>931</v>
      </c>
      <c r="E728" s="170" t="s">
        <v>701</v>
      </c>
      <c r="F728" s="174" t="s">
        <v>702</v>
      </c>
      <c r="G728" s="173" t="s">
        <v>706</v>
      </c>
      <c r="H728" s="175" t="s">
        <v>2065</v>
      </c>
    </row>
    <row r="729" spans="1:8" ht="15.75" customHeight="1">
      <c r="A729" s="288"/>
      <c r="B729" s="176" t="s">
        <v>2066</v>
      </c>
      <c r="C729" s="176" t="s">
        <v>2067</v>
      </c>
      <c r="D729" s="176" t="s">
        <v>818</v>
      </c>
      <c r="E729" s="170" t="s">
        <v>701</v>
      </c>
      <c r="F729" s="177" t="s">
        <v>932</v>
      </c>
      <c r="G729" s="176" t="s">
        <v>706</v>
      </c>
      <c r="H729" s="178" t="s">
        <v>2068</v>
      </c>
    </row>
    <row r="730" spans="1:8" ht="15.75" customHeight="1">
      <c r="A730" s="289"/>
      <c r="B730" s="173" t="s">
        <v>2069</v>
      </c>
      <c r="C730" s="173" t="s">
        <v>2070</v>
      </c>
      <c r="D730" s="173" t="s">
        <v>2069</v>
      </c>
      <c r="E730" s="170" t="s">
        <v>701</v>
      </c>
      <c r="F730" s="174" t="s">
        <v>932</v>
      </c>
      <c r="G730" s="173" t="s">
        <v>706</v>
      </c>
      <c r="H730" s="175" t="s">
        <v>980</v>
      </c>
    </row>
    <row r="731" spans="1:8" ht="15.75" customHeight="1">
      <c r="A731" s="287" t="s">
        <v>2071</v>
      </c>
      <c r="B731" s="176" t="s">
        <v>2072</v>
      </c>
      <c r="C731" s="176" t="s">
        <v>2073</v>
      </c>
      <c r="D731" s="176" t="s">
        <v>2069</v>
      </c>
      <c r="E731" s="170" t="s">
        <v>701</v>
      </c>
      <c r="F731" s="177" t="s">
        <v>702</v>
      </c>
      <c r="G731" s="176" t="s">
        <v>709</v>
      </c>
      <c r="H731" s="178" t="s">
        <v>130</v>
      </c>
    </row>
    <row r="732" spans="1:8" ht="15.75" customHeight="1">
      <c r="A732" s="288"/>
      <c r="B732" s="173" t="s">
        <v>2074</v>
      </c>
      <c r="C732" s="173" t="s">
        <v>2075</v>
      </c>
      <c r="D732" s="173" t="s">
        <v>2069</v>
      </c>
      <c r="E732" s="170" t="s">
        <v>701</v>
      </c>
      <c r="F732" s="174" t="s">
        <v>702</v>
      </c>
      <c r="G732" s="173" t="s">
        <v>703</v>
      </c>
      <c r="H732" s="175" t="s">
        <v>130</v>
      </c>
    </row>
    <row r="733" spans="1:8" ht="15.75" customHeight="1">
      <c r="A733" s="288"/>
      <c r="B733" s="176" t="s">
        <v>2076</v>
      </c>
      <c r="C733" s="176" t="s">
        <v>2077</v>
      </c>
      <c r="D733" s="176" t="s">
        <v>2069</v>
      </c>
      <c r="E733" s="170" t="s">
        <v>701</v>
      </c>
      <c r="F733" s="177" t="s">
        <v>702</v>
      </c>
      <c r="G733" s="176" t="s">
        <v>703</v>
      </c>
      <c r="H733" s="178" t="s">
        <v>130</v>
      </c>
    </row>
    <row r="734" spans="1:8" ht="15.75" customHeight="1">
      <c r="A734" s="288"/>
      <c r="B734" s="173" t="s">
        <v>2078</v>
      </c>
      <c r="C734" s="173" t="s">
        <v>2079</v>
      </c>
      <c r="D734" s="173" t="s">
        <v>2069</v>
      </c>
      <c r="E734" s="170" t="s">
        <v>701</v>
      </c>
      <c r="F734" s="174" t="s">
        <v>702</v>
      </c>
      <c r="G734" s="173" t="s">
        <v>2080</v>
      </c>
      <c r="H734" s="175" t="s">
        <v>130</v>
      </c>
    </row>
    <row r="735" spans="1:8" ht="15.75" customHeight="1">
      <c r="A735" s="288"/>
      <c r="B735" s="176" t="s">
        <v>2081</v>
      </c>
      <c r="C735" s="176" t="s">
        <v>2082</v>
      </c>
      <c r="D735" s="176" t="s">
        <v>2069</v>
      </c>
      <c r="E735" s="170" t="s">
        <v>701</v>
      </c>
      <c r="F735" s="177" t="s">
        <v>702</v>
      </c>
      <c r="G735" s="176" t="s">
        <v>706</v>
      </c>
      <c r="H735" s="178" t="s">
        <v>130</v>
      </c>
    </row>
    <row r="736" spans="1:8" ht="15.75" customHeight="1">
      <c r="A736" s="288"/>
      <c r="B736" s="173" t="s">
        <v>2083</v>
      </c>
      <c r="C736" s="173" t="s">
        <v>2084</v>
      </c>
      <c r="D736" s="173" t="s">
        <v>2069</v>
      </c>
      <c r="E736" s="170" t="s">
        <v>701</v>
      </c>
      <c r="F736" s="174" t="s">
        <v>702</v>
      </c>
      <c r="G736" s="173" t="s">
        <v>726</v>
      </c>
      <c r="H736" s="175" t="s">
        <v>130</v>
      </c>
    </row>
    <row r="737" spans="1:8" ht="15.75" customHeight="1">
      <c r="A737" s="288"/>
      <c r="B737" s="176" t="s">
        <v>2085</v>
      </c>
      <c r="C737" s="176" t="s">
        <v>2086</v>
      </c>
      <c r="D737" s="176" t="s">
        <v>2069</v>
      </c>
      <c r="E737" s="170" t="s">
        <v>701</v>
      </c>
      <c r="F737" s="177" t="s">
        <v>702</v>
      </c>
      <c r="G737" s="176" t="s">
        <v>709</v>
      </c>
      <c r="H737" s="178" t="s">
        <v>130</v>
      </c>
    </row>
    <row r="738" spans="1:8" ht="15.75" customHeight="1">
      <c r="A738" s="288"/>
      <c r="B738" s="173" t="s">
        <v>2087</v>
      </c>
      <c r="C738" s="173" t="s">
        <v>2088</v>
      </c>
      <c r="D738" s="173" t="s">
        <v>2069</v>
      </c>
      <c r="E738" s="170" t="s">
        <v>701</v>
      </c>
      <c r="F738" s="174" t="s">
        <v>702</v>
      </c>
      <c r="G738" s="173" t="s">
        <v>703</v>
      </c>
      <c r="H738" s="175" t="s">
        <v>130</v>
      </c>
    </row>
    <row r="739" spans="1:8" ht="15.75" customHeight="1">
      <c r="A739" s="288"/>
      <c r="B739" s="176" t="s">
        <v>2089</v>
      </c>
      <c r="C739" s="176" t="s">
        <v>2090</v>
      </c>
      <c r="D739" s="176" t="s">
        <v>2069</v>
      </c>
      <c r="E739" s="170" t="s">
        <v>701</v>
      </c>
      <c r="F739" s="177" t="s">
        <v>702</v>
      </c>
      <c r="G739" s="176" t="s">
        <v>709</v>
      </c>
      <c r="H739" s="178" t="s">
        <v>130</v>
      </c>
    </row>
    <row r="740" spans="1:8" ht="15.75" customHeight="1">
      <c r="A740" s="288"/>
      <c r="B740" s="173" t="s">
        <v>2091</v>
      </c>
      <c r="C740" s="173" t="s">
        <v>2092</v>
      </c>
      <c r="D740" s="173" t="s">
        <v>2069</v>
      </c>
      <c r="E740" s="170" t="s">
        <v>701</v>
      </c>
      <c r="F740" s="174" t="s">
        <v>702</v>
      </c>
      <c r="G740" s="173" t="s">
        <v>703</v>
      </c>
      <c r="H740" s="175" t="s">
        <v>130</v>
      </c>
    </row>
    <row r="741" spans="1:8" ht="15.75" customHeight="1">
      <c r="A741" s="288"/>
      <c r="B741" s="176" t="s">
        <v>2093</v>
      </c>
      <c r="C741" s="176" t="s">
        <v>2094</v>
      </c>
      <c r="D741" s="176" t="s">
        <v>2069</v>
      </c>
      <c r="E741" s="170" t="s">
        <v>701</v>
      </c>
      <c r="F741" s="177" t="s">
        <v>702</v>
      </c>
      <c r="G741" s="176" t="s">
        <v>709</v>
      </c>
      <c r="H741" s="178" t="s">
        <v>130</v>
      </c>
    </row>
    <row r="742" spans="1:8" ht="15.75" customHeight="1">
      <c r="A742" s="288"/>
      <c r="B742" s="173" t="s">
        <v>2095</v>
      </c>
      <c r="C742" s="173" t="s">
        <v>2096</v>
      </c>
      <c r="D742" s="173" t="s">
        <v>2069</v>
      </c>
      <c r="E742" s="170" t="s">
        <v>701</v>
      </c>
      <c r="F742" s="174" t="s">
        <v>702</v>
      </c>
      <c r="G742" s="173" t="s">
        <v>703</v>
      </c>
      <c r="H742" s="175" t="s">
        <v>130</v>
      </c>
    </row>
    <row r="743" spans="1:8" ht="15.75" customHeight="1">
      <c r="A743" s="288"/>
      <c r="B743" s="176" t="s">
        <v>2097</v>
      </c>
      <c r="C743" s="176" t="s">
        <v>2098</v>
      </c>
      <c r="D743" s="176" t="s">
        <v>2069</v>
      </c>
      <c r="E743" s="170" t="s">
        <v>701</v>
      </c>
      <c r="F743" s="177" t="s">
        <v>702</v>
      </c>
      <c r="G743" s="176" t="s">
        <v>709</v>
      </c>
      <c r="H743" s="178" t="s">
        <v>130</v>
      </c>
    </row>
    <row r="744" spans="1:8" ht="15.75" customHeight="1">
      <c r="A744" s="288"/>
      <c r="B744" s="173" t="s">
        <v>2099</v>
      </c>
      <c r="C744" s="173" t="s">
        <v>2100</v>
      </c>
      <c r="D744" s="173" t="s">
        <v>2069</v>
      </c>
      <c r="E744" s="170" t="s">
        <v>701</v>
      </c>
      <c r="F744" s="174" t="s">
        <v>702</v>
      </c>
      <c r="G744" s="173" t="s">
        <v>703</v>
      </c>
      <c r="H744" s="175" t="s">
        <v>130</v>
      </c>
    </row>
    <row r="745" spans="1:8" ht="15.75" customHeight="1">
      <c r="A745" s="288"/>
      <c r="B745" s="176" t="s">
        <v>2101</v>
      </c>
      <c r="C745" s="176" t="s">
        <v>2102</v>
      </c>
      <c r="D745" s="176" t="s">
        <v>2069</v>
      </c>
      <c r="E745" s="170" t="s">
        <v>701</v>
      </c>
      <c r="F745" s="177" t="s">
        <v>702</v>
      </c>
      <c r="G745" s="176" t="s">
        <v>703</v>
      </c>
      <c r="H745" s="178" t="s">
        <v>130</v>
      </c>
    </row>
    <row r="746" spans="1:8" ht="15.75" customHeight="1">
      <c r="A746" s="288"/>
      <c r="B746" s="173" t="s">
        <v>2103</v>
      </c>
      <c r="C746" s="173" t="s">
        <v>2104</v>
      </c>
      <c r="D746" s="173" t="s">
        <v>2069</v>
      </c>
      <c r="E746" s="170" t="s">
        <v>701</v>
      </c>
      <c r="F746" s="174" t="s">
        <v>702</v>
      </c>
      <c r="G746" s="173" t="s">
        <v>703</v>
      </c>
      <c r="H746" s="175" t="s">
        <v>130</v>
      </c>
    </row>
    <row r="747" spans="1:8" ht="15.75" customHeight="1">
      <c r="A747" s="289"/>
      <c r="B747" s="176" t="s">
        <v>2105</v>
      </c>
      <c r="C747" s="176" t="s">
        <v>2106</v>
      </c>
      <c r="D747" s="176" t="s">
        <v>2069</v>
      </c>
      <c r="E747" s="170" t="s">
        <v>701</v>
      </c>
      <c r="F747" s="177" t="s">
        <v>702</v>
      </c>
      <c r="G747" s="176" t="s">
        <v>726</v>
      </c>
      <c r="H747" s="178" t="s">
        <v>130</v>
      </c>
    </row>
    <row r="748" spans="1:8" ht="15.75" customHeight="1">
      <c r="A748" s="287" t="s">
        <v>2107</v>
      </c>
      <c r="B748" s="173" t="s">
        <v>2037</v>
      </c>
      <c r="C748" s="173" t="s">
        <v>2108</v>
      </c>
      <c r="D748" s="173" t="s">
        <v>931</v>
      </c>
      <c r="E748" s="170" t="s">
        <v>701</v>
      </c>
      <c r="F748" s="174" t="s">
        <v>702</v>
      </c>
      <c r="G748" s="173" t="s">
        <v>864</v>
      </c>
      <c r="H748" s="175" t="s">
        <v>130</v>
      </c>
    </row>
    <row r="749" spans="1:8" ht="15.75" customHeight="1">
      <c r="A749" s="288"/>
      <c r="B749" s="176" t="s">
        <v>2039</v>
      </c>
      <c r="C749" s="176" t="s">
        <v>2109</v>
      </c>
      <c r="D749" s="176" t="s">
        <v>818</v>
      </c>
      <c r="E749" s="170" t="s">
        <v>701</v>
      </c>
      <c r="F749" s="177" t="s">
        <v>702</v>
      </c>
      <c r="G749" s="176" t="s">
        <v>706</v>
      </c>
      <c r="H749" s="178" t="s">
        <v>130</v>
      </c>
    </row>
    <row r="750" spans="1:8" ht="15.75" customHeight="1">
      <c r="A750" s="288"/>
      <c r="B750" s="173" t="s">
        <v>2041</v>
      </c>
      <c r="C750" s="173" t="s">
        <v>2110</v>
      </c>
      <c r="D750" s="173" t="s">
        <v>818</v>
      </c>
      <c r="E750" s="170" t="s">
        <v>701</v>
      </c>
      <c r="F750" s="174" t="s">
        <v>702</v>
      </c>
      <c r="G750" s="173" t="s">
        <v>709</v>
      </c>
      <c r="H750" s="175" t="s">
        <v>130</v>
      </c>
    </row>
    <row r="751" spans="1:8" ht="15.75" customHeight="1">
      <c r="A751" s="288"/>
      <c r="B751" s="176" t="s">
        <v>2043</v>
      </c>
      <c r="C751" s="176" t="s">
        <v>2111</v>
      </c>
      <c r="D751" s="176" t="s">
        <v>818</v>
      </c>
      <c r="E751" s="170" t="s">
        <v>701</v>
      </c>
      <c r="F751" s="177" t="s">
        <v>702</v>
      </c>
      <c r="G751" s="176" t="s">
        <v>703</v>
      </c>
      <c r="H751" s="178" t="s">
        <v>130</v>
      </c>
    </row>
    <row r="752" spans="1:8" ht="15.75" customHeight="1">
      <c r="A752" s="288"/>
      <c r="B752" s="173" t="s">
        <v>2045</v>
      </c>
      <c r="C752" s="173" t="s">
        <v>2112</v>
      </c>
      <c r="D752" s="173" t="s">
        <v>818</v>
      </c>
      <c r="E752" s="170" t="s">
        <v>701</v>
      </c>
      <c r="F752" s="174" t="s">
        <v>702</v>
      </c>
      <c r="G752" s="173" t="s">
        <v>703</v>
      </c>
      <c r="H752" s="175" t="s">
        <v>130</v>
      </c>
    </row>
    <row r="753" spans="1:8" ht="15.75" customHeight="1">
      <c r="A753" s="288"/>
      <c r="B753" s="176" t="s">
        <v>2113</v>
      </c>
      <c r="C753" s="176" t="s">
        <v>2114</v>
      </c>
      <c r="D753" s="176" t="s">
        <v>931</v>
      </c>
      <c r="E753" s="170" t="s">
        <v>701</v>
      </c>
      <c r="F753" s="177" t="s">
        <v>702</v>
      </c>
      <c r="G753" s="176" t="s">
        <v>706</v>
      </c>
      <c r="H753" s="178" t="s">
        <v>130</v>
      </c>
    </row>
    <row r="754" spans="1:8" ht="15.75" customHeight="1">
      <c r="A754" s="288"/>
      <c r="B754" s="173" t="s">
        <v>2047</v>
      </c>
      <c r="C754" s="173" t="s">
        <v>2115</v>
      </c>
      <c r="D754" s="173" t="s">
        <v>818</v>
      </c>
      <c r="E754" s="170" t="s">
        <v>701</v>
      </c>
      <c r="F754" s="174" t="s">
        <v>702</v>
      </c>
      <c r="G754" s="173" t="s">
        <v>703</v>
      </c>
      <c r="H754" s="175" t="s">
        <v>130</v>
      </c>
    </row>
    <row r="755" spans="1:8" ht="15.75" customHeight="1">
      <c r="A755" s="288"/>
      <c r="B755" s="176" t="s">
        <v>2049</v>
      </c>
      <c r="C755" s="176" t="s">
        <v>2116</v>
      </c>
      <c r="D755" s="176" t="s">
        <v>931</v>
      </c>
      <c r="E755" s="170" t="s">
        <v>701</v>
      </c>
      <c r="F755" s="177" t="s">
        <v>702</v>
      </c>
      <c r="G755" s="176" t="s">
        <v>709</v>
      </c>
      <c r="H755" s="178" t="s">
        <v>130</v>
      </c>
    </row>
    <row r="756" spans="1:8" ht="15.75" customHeight="1">
      <c r="A756" s="288"/>
      <c r="B756" s="173" t="s">
        <v>2051</v>
      </c>
      <c r="C756" s="173" t="s">
        <v>2117</v>
      </c>
      <c r="D756" s="173" t="s">
        <v>931</v>
      </c>
      <c r="E756" s="170" t="s">
        <v>701</v>
      </c>
      <c r="F756" s="174" t="s">
        <v>702</v>
      </c>
      <c r="G756" s="173" t="s">
        <v>726</v>
      </c>
      <c r="H756" s="175" t="s">
        <v>130</v>
      </c>
    </row>
    <row r="757" spans="1:8" ht="15.75" customHeight="1">
      <c r="A757" s="289"/>
      <c r="B757" s="176" t="s">
        <v>2053</v>
      </c>
      <c r="C757" s="176" t="s">
        <v>2118</v>
      </c>
      <c r="D757" s="176" t="s">
        <v>818</v>
      </c>
      <c r="E757" s="170" t="s">
        <v>701</v>
      </c>
      <c r="F757" s="177" t="s">
        <v>702</v>
      </c>
      <c r="G757" s="176" t="s">
        <v>709</v>
      </c>
      <c r="H757" s="178" t="s">
        <v>130</v>
      </c>
    </row>
    <row r="758" spans="1:8" ht="15.75" customHeight="1">
      <c r="A758" s="287" t="s">
        <v>2119</v>
      </c>
      <c r="B758" s="173" t="s">
        <v>2120</v>
      </c>
      <c r="C758" s="173" t="s">
        <v>2121</v>
      </c>
      <c r="D758" s="173" t="s">
        <v>818</v>
      </c>
      <c r="E758" s="173" t="s">
        <v>803</v>
      </c>
      <c r="F758" s="174" t="s">
        <v>702</v>
      </c>
      <c r="G758" s="173" t="s">
        <v>2122</v>
      </c>
      <c r="H758" s="175" t="s">
        <v>130</v>
      </c>
    </row>
    <row r="759" spans="1:8" ht="15.75" customHeight="1">
      <c r="A759" s="288"/>
      <c r="B759" s="176" t="s">
        <v>2123</v>
      </c>
      <c r="C759" s="176" t="s">
        <v>2124</v>
      </c>
      <c r="D759" s="176" t="s">
        <v>818</v>
      </c>
      <c r="E759" s="176" t="s">
        <v>803</v>
      </c>
      <c r="F759" s="177" t="s">
        <v>702</v>
      </c>
      <c r="G759" s="176" t="s">
        <v>864</v>
      </c>
      <c r="H759" s="178" t="s">
        <v>130</v>
      </c>
    </row>
    <row r="760" spans="1:8" ht="15.75" customHeight="1">
      <c r="A760" s="288"/>
      <c r="B760" s="173" t="s">
        <v>2125</v>
      </c>
      <c r="C760" s="173" t="s">
        <v>2126</v>
      </c>
      <c r="D760" s="173" t="s">
        <v>818</v>
      </c>
      <c r="E760" s="173" t="s">
        <v>803</v>
      </c>
      <c r="F760" s="174" t="s">
        <v>702</v>
      </c>
      <c r="G760" s="173" t="s">
        <v>706</v>
      </c>
      <c r="H760" s="175" t="s">
        <v>130</v>
      </c>
    </row>
    <row r="761" spans="1:8" ht="15.75" customHeight="1">
      <c r="A761" s="288"/>
      <c r="B761" s="176" t="s">
        <v>2127</v>
      </c>
      <c r="C761" s="176" t="s">
        <v>2128</v>
      </c>
      <c r="D761" s="176" t="s">
        <v>818</v>
      </c>
      <c r="E761" s="176" t="s">
        <v>803</v>
      </c>
      <c r="F761" s="177" t="s">
        <v>702</v>
      </c>
      <c r="G761" s="176" t="s">
        <v>709</v>
      </c>
      <c r="H761" s="178" t="s">
        <v>130</v>
      </c>
    </row>
    <row r="762" spans="1:8" ht="15.75" customHeight="1">
      <c r="A762" s="288"/>
      <c r="B762" s="173" t="s">
        <v>2129</v>
      </c>
      <c r="C762" s="173" t="s">
        <v>2130</v>
      </c>
      <c r="D762" s="173" t="s">
        <v>818</v>
      </c>
      <c r="E762" s="173" t="s">
        <v>803</v>
      </c>
      <c r="F762" s="174" t="s">
        <v>702</v>
      </c>
      <c r="G762" s="173" t="s">
        <v>2131</v>
      </c>
      <c r="H762" s="175" t="s">
        <v>130</v>
      </c>
    </row>
    <row r="763" spans="1:8" ht="15.75" customHeight="1">
      <c r="A763" s="288"/>
      <c r="B763" s="176" t="s">
        <v>2132</v>
      </c>
      <c r="C763" s="176" t="s">
        <v>2133</v>
      </c>
      <c r="D763" s="176" t="s">
        <v>818</v>
      </c>
      <c r="E763" s="176" t="s">
        <v>803</v>
      </c>
      <c r="F763" s="177" t="s">
        <v>702</v>
      </c>
      <c r="G763" s="176" t="s">
        <v>706</v>
      </c>
      <c r="H763" s="178" t="s">
        <v>130</v>
      </c>
    </row>
    <row r="764" spans="1:8" ht="15.75" customHeight="1">
      <c r="A764" s="288"/>
      <c r="B764" s="173" t="s">
        <v>2134</v>
      </c>
      <c r="C764" s="173" t="s">
        <v>2135</v>
      </c>
      <c r="D764" s="173" t="s">
        <v>818</v>
      </c>
      <c r="E764" s="173" t="s">
        <v>803</v>
      </c>
      <c r="F764" s="174" t="s">
        <v>702</v>
      </c>
      <c r="G764" s="173" t="s">
        <v>2131</v>
      </c>
      <c r="H764" s="175" t="s">
        <v>130</v>
      </c>
    </row>
    <row r="765" spans="1:8" ht="15.75" customHeight="1">
      <c r="A765" s="288"/>
      <c r="B765" s="176" t="s">
        <v>2136</v>
      </c>
      <c r="C765" s="176" t="s">
        <v>2137</v>
      </c>
      <c r="D765" s="176" t="s">
        <v>818</v>
      </c>
      <c r="E765" s="176" t="s">
        <v>803</v>
      </c>
      <c r="F765" s="177" t="s">
        <v>702</v>
      </c>
      <c r="G765" s="176" t="s">
        <v>706</v>
      </c>
      <c r="H765" s="178" t="s">
        <v>130</v>
      </c>
    </row>
    <row r="766" spans="1:8" ht="15.75" customHeight="1">
      <c r="A766" s="288"/>
      <c r="B766" s="173" t="s">
        <v>2138</v>
      </c>
      <c r="C766" s="173" t="s">
        <v>2139</v>
      </c>
      <c r="D766" s="173" t="s">
        <v>818</v>
      </c>
      <c r="E766" s="173" t="s">
        <v>803</v>
      </c>
      <c r="F766" s="174" t="s">
        <v>702</v>
      </c>
      <c r="G766" s="173" t="s">
        <v>723</v>
      </c>
      <c r="H766" s="175" t="s">
        <v>130</v>
      </c>
    </row>
    <row r="767" spans="1:8" ht="15.75" customHeight="1">
      <c r="A767" s="288"/>
      <c r="B767" s="176" t="s">
        <v>2140</v>
      </c>
      <c r="C767" s="176" t="s">
        <v>2141</v>
      </c>
      <c r="D767" s="176" t="s">
        <v>818</v>
      </c>
      <c r="E767" s="176" t="s">
        <v>803</v>
      </c>
      <c r="F767" s="177" t="s">
        <v>702</v>
      </c>
      <c r="G767" s="176" t="s">
        <v>2142</v>
      </c>
      <c r="H767" s="178" t="s">
        <v>130</v>
      </c>
    </row>
    <row r="768" spans="1:8" ht="15.75" customHeight="1">
      <c r="A768" s="288"/>
      <c r="B768" s="173" t="s">
        <v>2143</v>
      </c>
      <c r="C768" s="173" t="s">
        <v>2144</v>
      </c>
      <c r="D768" s="173" t="s">
        <v>818</v>
      </c>
      <c r="E768" s="173" t="s">
        <v>803</v>
      </c>
      <c r="F768" s="174" t="s">
        <v>702</v>
      </c>
      <c r="G768" s="173" t="s">
        <v>703</v>
      </c>
      <c r="H768" s="175" t="s">
        <v>130</v>
      </c>
    </row>
    <row r="769" spans="1:8" ht="15.75" customHeight="1">
      <c r="A769" s="288"/>
      <c r="B769" s="176" t="s">
        <v>2145</v>
      </c>
      <c r="C769" s="176" t="s">
        <v>2146</v>
      </c>
      <c r="D769" s="176" t="s">
        <v>818</v>
      </c>
      <c r="E769" s="176" t="s">
        <v>803</v>
      </c>
      <c r="F769" s="177" t="s">
        <v>702</v>
      </c>
      <c r="G769" s="176" t="s">
        <v>726</v>
      </c>
      <c r="H769" s="178" t="s">
        <v>130</v>
      </c>
    </row>
    <row r="770" spans="1:8" ht="15.75" customHeight="1">
      <c r="A770" s="288"/>
      <c r="B770" s="173" t="s">
        <v>2147</v>
      </c>
      <c r="C770" s="173" t="s">
        <v>2148</v>
      </c>
      <c r="D770" s="173" t="s">
        <v>818</v>
      </c>
      <c r="E770" s="173" t="s">
        <v>803</v>
      </c>
      <c r="F770" s="174" t="s">
        <v>702</v>
      </c>
      <c r="G770" s="173" t="s">
        <v>726</v>
      </c>
      <c r="H770" s="175" t="s">
        <v>130</v>
      </c>
    </row>
    <row r="771" spans="1:8" ht="15.75" customHeight="1">
      <c r="A771" s="288"/>
      <c r="B771" s="176" t="s">
        <v>2149</v>
      </c>
      <c r="C771" s="176" t="s">
        <v>2150</v>
      </c>
      <c r="D771" s="176" t="s">
        <v>818</v>
      </c>
      <c r="E771" s="176" t="s">
        <v>803</v>
      </c>
      <c r="F771" s="177" t="s">
        <v>702</v>
      </c>
      <c r="G771" s="176" t="s">
        <v>703</v>
      </c>
      <c r="H771" s="178" t="s">
        <v>130</v>
      </c>
    </row>
    <row r="772" spans="1:8" ht="15.75" customHeight="1">
      <c r="A772" s="288"/>
      <c r="B772" s="173" t="s">
        <v>2151</v>
      </c>
      <c r="C772" s="173" t="s">
        <v>2152</v>
      </c>
      <c r="D772" s="173" t="s">
        <v>818</v>
      </c>
      <c r="E772" s="173" t="s">
        <v>803</v>
      </c>
      <c r="F772" s="174" t="s">
        <v>702</v>
      </c>
      <c r="G772" s="173" t="s">
        <v>706</v>
      </c>
      <c r="H772" s="175" t="s">
        <v>130</v>
      </c>
    </row>
    <row r="773" spans="1:8" ht="15.75" customHeight="1">
      <c r="A773" s="288"/>
      <c r="B773" s="176" t="s">
        <v>2153</v>
      </c>
      <c r="C773" s="176" t="s">
        <v>2154</v>
      </c>
      <c r="D773" s="176" t="s">
        <v>818</v>
      </c>
      <c r="E773" s="176" t="s">
        <v>803</v>
      </c>
      <c r="F773" s="177" t="s">
        <v>702</v>
      </c>
      <c r="G773" s="176" t="s">
        <v>2155</v>
      </c>
      <c r="H773" s="178" t="s">
        <v>130</v>
      </c>
    </row>
    <row r="774" spans="1:8" ht="15.75" customHeight="1">
      <c r="A774" s="288"/>
      <c r="B774" s="173" t="s">
        <v>2156</v>
      </c>
      <c r="C774" s="173" t="s">
        <v>2157</v>
      </c>
      <c r="D774" s="173" t="s">
        <v>818</v>
      </c>
      <c r="E774" s="173" t="s">
        <v>803</v>
      </c>
      <c r="F774" s="174" t="s">
        <v>702</v>
      </c>
      <c r="G774" s="173" t="s">
        <v>2158</v>
      </c>
      <c r="H774" s="175" t="s">
        <v>130</v>
      </c>
    </row>
    <row r="775" spans="1:8" ht="15.75" customHeight="1">
      <c r="A775" s="288"/>
      <c r="B775" s="176" t="s">
        <v>2159</v>
      </c>
      <c r="C775" s="176" t="s">
        <v>2160</v>
      </c>
      <c r="D775" s="176" t="s">
        <v>818</v>
      </c>
      <c r="E775" s="176" t="s">
        <v>803</v>
      </c>
      <c r="F775" s="177" t="s">
        <v>702</v>
      </c>
      <c r="G775" s="176" t="s">
        <v>703</v>
      </c>
      <c r="H775" s="178" t="s">
        <v>130</v>
      </c>
    </row>
    <row r="776" spans="1:8" ht="15.75" customHeight="1">
      <c r="A776" s="288"/>
      <c r="B776" s="173" t="s">
        <v>2161</v>
      </c>
      <c r="C776" s="173" t="s">
        <v>2162</v>
      </c>
      <c r="D776" s="173" t="s">
        <v>818</v>
      </c>
      <c r="E776" s="173" t="s">
        <v>803</v>
      </c>
      <c r="F776" s="174" t="s">
        <v>702</v>
      </c>
      <c r="G776" s="173" t="s">
        <v>706</v>
      </c>
      <c r="H776" s="175" t="s">
        <v>130</v>
      </c>
    </row>
    <row r="777" spans="1:8" ht="15.75" customHeight="1">
      <c r="A777" s="288"/>
      <c r="B777" s="176" t="s">
        <v>2163</v>
      </c>
      <c r="C777" s="176" t="s">
        <v>2164</v>
      </c>
      <c r="D777" s="176" t="s">
        <v>818</v>
      </c>
      <c r="E777" s="176" t="s">
        <v>803</v>
      </c>
      <c r="F777" s="177" t="s">
        <v>702</v>
      </c>
      <c r="G777" s="176" t="s">
        <v>706</v>
      </c>
      <c r="H777" s="178" t="s">
        <v>130</v>
      </c>
    </row>
    <row r="778" spans="1:8" ht="15.75" customHeight="1">
      <c r="A778" s="288"/>
      <c r="B778" s="173" t="s">
        <v>2165</v>
      </c>
      <c r="C778" s="173" t="s">
        <v>2166</v>
      </c>
      <c r="D778" s="173" t="s">
        <v>818</v>
      </c>
      <c r="E778" s="173" t="s">
        <v>803</v>
      </c>
      <c r="F778" s="174" t="s">
        <v>702</v>
      </c>
      <c r="G778" s="173" t="s">
        <v>726</v>
      </c>
      <c r="H778" s="175" t="s">
        <v>130</v>
      </c>
    </row>
    <row r="779" spans="1:8" ht="15.75" customHeight="1">
      <c r="A779" s="288"/>
      <c r="B779" s="176" t="s">
        <v>2167</v>
      </c>
      <c r="C779" s="176" t="s">
        <v>2168</v>
      </c>
      <c r="D779" s="176" t="s">
        <v>818</v>
      </c>
      <c r="E779" s="176" t="s">
        <v>803</v>
      </c>
      <c r="F779" s="177" t="s">
        <v>702</v>
      </c>
      <c r="G779" s="176" t="s">
        <v>706</v>
      </c>
      <c r="H779" s="178" t="s">
        <v>130</v>
      </c>
    </row>
    <row r="780" spans="1:8" ht="15.75" customHeight="1">
      <c r="A780" s="288"/>
      <c r="B780" s="173" t="s">
        <v>2169</v>
      </c>
      <c r="C780" s="173" t="s">
        <v>2170</v>
      </c>
      <c r="D780" s="173" t="s">
        <v>818</v>
      </c>
      <c r="E780" s="173" t="s">
        <v>803</v>
      </c>
      <c r="F780" s="174" t="s">
        <v>702</v>
      </c>
      <c r="G780" s="173" t="s">
        <v>709</v>
      </c>
      <c r="H780" s="175" t="s">
        <v>130</v>
      </c>
    </row>
    <row r="781" spans="1:8" ht="15.75" customHeight="1">
      <c r="A781" s="288"/>
      <c r="B781" s="176" t="s">
        <v>2171</v>
      </c>
      <c r="C781" s="176" t="s">
        <v>2172</v>
      </c>
      <c r="D781" s="176" t="s">
        <v>818</v>
      </c>
      <c r="E781" s="176" t="s">
        <v>803</v>
      </c>
      <c r="F781" s="177" t="s">
        <v>702</v>
      </c>
      <c r="G781" s="176" t="s">
        <v>706</v>
      </c>
      <c r="H781" s="178" t="s">
        <v>130</v>
      </c>
    </row>
    <row r="782" spans="1:8" ht="15.75" customHeight="1">
      <c r="A782" s="288"/>
      <c r="B782" s="173" t="s">
        <v>2173</v>
      </c>
      <c r="C782" s="173" t="s">
        <v>2174</v>
      </c>
      <c r="D782" s="173" t="s">
        <v>818</v>
      </c>
      <c r="E782" s="173" t="s">
        <v>803</v>
      </c>
      <c r="F782" s="174" t="s">
        <v>702</v>
      </c>
      <c r="G782" s="173" t="s">
        <v>703</v>
      </c>
      <c r="H782" s="175" t="s">
        <v>130</v>
      </c>
    </row>
    <row r="783" spans="1:8" ht="15.75" customHeight="1">
      <c r="A783" s="288"/>
      <c r="B783" s="176" t="s">
        <v>2175</v>
      </c>
      <c r="C783" s="176" t="s">
        <v>2176</v>
      </c>
      <c r="D783" s="176" t="s">
        <v>818</v>
      </c>
      <c r="E783" s="176" t="s">
        <v>803</v>
      </c>
      <c r="F783" s="177" t="s">
        <v>702</v>
      </c>
      <c r="G783" s="176" t="s">
        <v>703</v>
      </c>
      <c r="H783" s="178" t="s">
        <v>130</v>
      </c>
    </row>
    <row r="784" spans="1:8" ht="15.75" customHeight="1">
      <c r="A784" s="288"/>
      <c r="B784" s="173" t="s">
        <v>2177</v>
      </c>
      <c r="C784" s="173" t="s">
        <v>2178</v>
      </c>
      <c r="D784" s="173" t="s">
        <v>818</v>
      </c>
      <c r="E784" s="173" t="s">
        <v>803</v>
      </c>
      <c r="F784" s="174" t="s">
        <v>702</v>
      </c>
      <c r="G784" s="173" t="s">
        <v>706</v>
      </c>
      <c r="H784" s="175" t="s">
        <v>130</v>
      </c>
    </row>
    <row r="785" spans="1:8" ht="15.75" customHeight="1">
      <c r="A785" s="288"/>
      <c r="B785" s="176" t="s">
        <v>2179</v>
      </c>
      <c r="C785" s="176" t="s">
        <v>2180</v>
      </c>
      <c r="D785" s="176" t="s">
        <v>818</v>
      </c>
      <c r="E785" s="176" t="s">
        <v>803</v>
      </c>
      <c r="F785" s="177" t="s">
        <v>702</v>
      </c>
      <c r="G785" s="176" t="s">
        <v>709</v>
      </c>
      <c r="H785" s="178" t="s">
        <v>130</v>
      </c>
    </row>
    <row r="786" spans="1:8" ht="15.75" customHeight="1">
      <c r="A786" s="288"/>
      <c r="B786" s="173" t="s">
        <v>2181</v>
      </c>
      <c r="C786" s="173" t="s">
        <v>2182</v>
      </c>
      <c r="D786" s="173" t="s">
        <v>818</v>
      </c>
      <c r="E786" s="173" t="s">
        <v>803</v>
      </c>
      <c r="F786" s="174" t="s">
        <v>702</v>
      </c>
      <c r="G786" s="173" t="s">
        <v>703</v>
      </c>
      <c r="H786" s="175" t="s">
        <v>130</v>
      </c>
    </row>
    <row r="787" spans="1:8" ht="15.75" customHeight="1">
      <c r="A787" s="288"/>
      <c r="B787" s="176" t="s">
        <v>2183</v>
      </c>
      <c r="C787" s="176" t="s">
        <v>2184</v>
      </c>
      <c r="D787" s="176" t="s">
        <v>818</v>
      </c>
      <c r="E787" s="176" t="s">
        <v>803</v>
      </c>
      <c r="F787" s="177" t="s">
        <v>702</v>
      </c>
      <c r="G787" s="176" t="s">
        <v>709</v>
      </c>
      <c r="H787" s="178" t="s">
        <v>130</v>
      </c>
    </row>
    <row r="788" spans="1:8" ht="15.75" customHeight="1">
      <c r="A788" s="288"/>
      <c r="B788" s="173" t="s">
        <v>2185</v>
      </c>
      <c r="C788" s="173" t="s">
        <v>2186</v>
      </c>
      <c r="D788" s="173" t="s">
        <v>818</v>
      </c>
      <c r="E788" s="176" t="s">
        <v>803</v>
      </c>
      <c r="F788" s="174" t="s">
        <v>702</v>
      </c>
      <c r="G788" s="173" t="s">
        <v>703</v>
      </c>
      <c r="H788" s="175" t="s">
        <v>130</v>
      </c>
    </row>
    <row r="789" spans="1:8" ht="15.75" customHeight="1">
      <c r="A789" s="288"/>
      <c r="B789" s="176" t="s">
        <v>2187</v>
      </c>
      <c r="C789" s="176" t="s">
        <v>2188</v>
      </c>
      <c r="D789" s="176" t="s">
        <v>818</v>
      </c>
      <c r="E789" s="176" t="s">
        <v>803</v>
      </c>
      <c r="F789" s="177" t="s">
        <v>702</v>
      </c>
      <c r="G789" s="176" t="s">
        <v>2189</v>
      </c>
      <c r="H789" s="178" t="s">
        <v>130</v>
      </c>
    </row>
    <row r="790" spans="1:8" ht="15.75" customHeight="1">
      <c r="A790" s="288"/>
      <c r="B790" s="173" t="s">
        <v>2190</v>
      </c>
      <c r="C790" s="173" t="s">
        <v>2191</v>
      </c>
      <c r="D790" s="173" t="s">
        <v>818</v>
      </c>
      <c r="E790" s="176" t="s">
        <v>803</v>
      </c>
      <c r="F790" s="174" t="s">
        <v>702</v>
      </c>
      <c r="G790" s="173" t="s">
        <v>2131</v>
      </c>
      <c r="H790" s="175" t="s">
        <v>130</v>
      </c>
    </row>
    <row r="791" spans="1:8" ht="15.75" customHeight="1">
      <c r="A791" s="288"/>
      <c r="B791" s="176" t="s">
        <v>2192</v>
      </c>
      <c r="C791" s="176" t="s">
        <v>2193</v>
      </c>
      <c r="D791" s="176" t="s">
        <v>818</v>
      </c>
      <c r="E791" s="176" t="s">
        <v>803</v>
      </c>
      <c r="F791" s="177" t="s">
        <v>702</v>
      </c>
      <c r="G791" s="176" t="s">
        <v>726</v>
      </c>
      <c r="H791" s="178" t="s">
        <v>130</v>
      </c>
    </row>
    <row r="792" spans="1:8" ht="15.75" customHeight="1">
      <c r="A792" s="288"/>
      <c r="B792" s="173" t="s">
        <v>2194</v>
      </c>
      <c r="C792" s="173" t="s">
        <v>2195</v>
      </c>
      <c r="D792" s="173" t="s">
        <v>818</v>
      </c>
      <c r="E792" s="176" t="s">
        <v>803</v>
      </c>
      <c r="F792" s="174" t="s">
        <v>702</v>
      </c>
      <c r="G792" s="173" t="s">
        <v>703</v>
      </c>
      <c r="H792" s="175" t="s">
        <v>130</v>
      </c>
    </row>
    <row r="793" spans="1:8" ht="15.75" customHeight="1">
      <c r="A793" s="288"/>
      <c r="B793" s="176" t="s">
        <v>2196</v>
      </c>
      <c r="C793" s="176" t="s">
        <v>2197</v>
      </c>
      <c r="D793" s="176" t="s">
        <v>818</v>
      </c>
      <c r="E793" s="176" t="s">
        <v>803</v>
      </c>
      <c r="F793" s="177" t="s">
        <v>702</v>
      </c>
      <c r="G793" s="176" t="s">
        <v>706</v>
      </c>
      <c r="H793" s="178" t="s">
        <v>130</v>
      </c>
    </row>
    <row r="794" spans="1:8" ht="15.75" customHeight="1">
      <c r="A794" s="288"/>
      <c r="B794" s="173" t="s">
        <v>2198</v>
      </c>
      <c r="C794" s="173" t="s">
        <v>2199</v>
      </c>
      <c r="D794" s="173" t="s">
        <v>818</v>
      </c>
      <c r="E794" s="176" t="s">
        <v>803</v>
      </c>
      <c r="F794" s="174" t="s">
        <v>702</v>
      </c>
      <c r="G794" s="173" t="s">
        <v>703</v>
      </c>
      <c r="H794" s="175" t="s">
        <v>130</v>
      </c>
    </row>
    <row r="795" spans="1:8" ht="15.75" customHeight="1">
      <c r="A795" s="288"/>
      <c r="B795" s="176" t="s">
        <v>2200</v>
      </c>
      <c r="C795" s="176" t="s">
        <v>2201</v>
      </c>
      <c r="D795" s="176" t="s">
        <v>818</v>
      </c>
      <c r="E795" s="176" t="s">
        <v>803</v>
      </c>
      <c r="F795" s="177" t="s">
        <v>702</v>
      </c>
      <c r="G795" s="176" t="s">
        <v>703</v>
      </c>
      <c r="H795" s="178" t="s">
        <v>130</v>
      </c>
    </row>
    <row r="796" spans="1:8" ht="15.75" customHeight="1">
      <c r="A796" s="288"/>
      <c r="B796" s="173" t="s">
        <v>2202</v>
      </c>
      <c r="C796" s="173" t="s">
        <v>2203</v>
      </c>
      <c r="D796" s="173" t="s">
        <v>818</v>
      </c>
      <c r="E796" s="176" t="s">
        <v>803</v>
      </c>
      <c r="F796" s="174" t="s">
        <v>702</v>
      </c>
      <c r="G796" s="173" t="s">
        <v>706</v>
      </c>
      <c r="H796" s="175" t="s">
        <v>130</v>
      </c>
    </row>
    <row r="797" spans="1:8" ht="15.75" customHeight="1">
      <c r="A797" s="288"/>
      <c r="B797" s="176" t="s">
        <v>2204</v>
      </c>
      <c r="C797" s="176" t="s">
        <v>2205</v>
      </c>
      <c r="D797" s="176" t="s">
        <v>818</v>
      </c>
      <c r="E797" s="176" t="s">
        <v>803</v>
      </c>
      <c r="F797" s="177" t="s">
        <v>702</v>
      </c>
      <c r="G797" s="176" t="s">
        <v>703</v>
      </c>
      <c r="H797" s="178" t="s">
        <v>130</v>
      </c>
    </row>
    <row r="798" spans="1:8" ht="15.75" customHeight="1">
      <c r="A798" s="288"/>
      <c r="B798" s="173" t="s">
        <v>2206</v>
      </c>
      <c r="C798" s="173" t="s">
        <v>2207</v>
      </c>
      <c r="D798" s="173" t="s">
        <v>818</v>
      </c>
      <c r="E798" s="176" t="s">
        <v>803</v>
      </c>
      <c r="F798" s="174" t="s">
        <v>702</v>
      </c>
      <c r="G798" s="173" t="s">
        <v>2208</v>
      </c>
      <c r="H798" s="175" t="s">
        <v>130</v>
      </c>
    </row>
    <row r="799" spans="1:8" ht="15.75" customHeight="1">
      <c r="A799" s="288"/>
      <c r="B799" s="176" t="s">
        <v>2209</v>
      </c>
      <c r="C799" s="176" t="s">
        <v>2210</v>
      </c>
      <c r="D799" s="176" t="s">
        <v>818</v>
      </c>
      <c r="E799" s="176" t="s">
        <v>803</v>
      </c>
      <c r="F799" s="177" t="s">
        <v>702</v>
      </c>
      <c r="G799" s="176" t="s">
        <v>703</v>
      </c>
      <c r="H799" s="178" t="s">
        <v>130</v>
      </c>
    </row>
    <row r="800" spans="1:8" ht="15.75" customHeight="1">
      <c r="A800" s="288"/>
      <c r="B800" s="173" t="s">
        <v>2211</v>
      </c>
      <c r="C800" s="173" t="s">
        <v>2212</v>
      </c>
      <c r="D800" s="173" t="s">
        <v>818</v>
      </c>
      <c r="E800" s="176" t="s">
        <v>803</v>
      </c>
      <c r="F800" s="174" t="s">
        <v>702</v>
      </c>
      <c r="G800" s="173" t="s">
        <v>726</v>
      </c>
      <c r="H800" s="175" t="s">
        <v>130</v>
      </c>
    </row>
    <row r="801" spans="1:8" ht="15.75" customHeight="1">
      <c r="A801" s="288"/>
      <c r="B801" s="176" t="s">
        <v>2213</v>
      </c>
      <c r="C801" s="176" t="s">
        <v>2214</v>
      </c>
      <c r="D801" s="176" t="s">
        <v>818</v>
      </c>
      <c r="E801" s="176" t="s">
        <v>803</v>
      </c>
      <c r="F801" s="177" t="s">
        <v>702</v>
      </c>
      <c r="G801" s="176" t="s">
        <v>2215</v>
      </c>
      <c r="H801" s="178" t="s">
        <v>130</v>
      </c>
    </row>
    <row r="802" spans="1:8" ht="15.75" customHeight="1">
      <c r="A802" s="288"/>
      <c r="B802" s="173" t="s">
        <v>2216</v>
      </c>
      <c r="C802" s="173" t="s">
        <v>2217</v>
      </c>
      <c r="D802" s="173" t="s">
        <v>818</v>
      </c>
      <c r="E802" s="176" t="s">
        <v>803</v>
      </c>
      <c r="F802" s="174" t="s">
        <v>702</v>
      </c>
      <c r="G802" s="173" t="s">
        <v>706</v>
      </c>
      <c r="H802" s="175" t="s">
        <v>130</v>
      </c>
    </row>
    <row r="803" spans="1:8" ht="15.75" customHeight="1">
      <c r="A803" s="288"/>
      <c r="B803" s="176" t="s">
        <v>2218</v>
      </c>
      <c r="C803" s="176" t="s">
        <v>2219</v>
      </c>
      <c r="D803" s="176" t="s">
        <v>818</v>
      </c>
      <c r="E803" s="176" t="s">
        <v>803</v>
      </c>
      <c r="F803" s="177" t="s">
        <v>702</v>
      </c>
      <c r="G803" s="176" t="s">
        <v>709</v>
      </c>
      <c r="H803" s="178" t="s">
        <v>130</v>
      </c>
    </row>
    <row r="804" spans="1:8" ht="15.75" customHeight="1">
      <c r="A804" s="288"/>
      <c r="B804" s="173" t="s">
        <v>2220</v>
      </c>
      <c r="C804" s="173" t="s">
        <v>2221</v>
      </c>
      <c r="D804" s="173" t="s">
        <v>818</v>
      </c>
      <c r="E804" s="176" t="s">
        <v>803</v>
      </c>
      <c r="F804" s="174" t="s">
        <v>702</v>
      </c>
      <c r="G804" s="173" t="s">
        <v>703</v>
      </c>
      <c r="H804" s="175" t="s">
        <v>130</v>
      </c>
    </row>
    <row r="805" spans="1:8" ht="15.75" customHeight="1">
      <c r="A805" s="288"/>
      <c r="B805" s="176" t="s">
        <v>2222</v>
      </c>
      <c r="C805" s="176" t="s">
        <v>2223</v>
      </c>
      <c r="D805" s="176" t="s">
        <v>818</v>
      </c>
      <c r="E805" s="176" t="s">
        <v>803</v>
      </c>
      <c r="F805" s="177" t="s">
        <v>702</v>
      </c>
      <c r="G805" s="176" t="s">
        <v>706</v>
      </c>
      <c r="H805" s="178" t="s">
        <v>130</v>
      </c>
    </row>
    <row r="806" spans="1:8" ht="15.75" customHeight="1">
      <c r="A806" s="288"/>
      <c r="B806" s="173" t="s">
        <v>2224</v>
      </c>
      <c r="C806" s="173" t="s">
        <v>2225</v>
      </c>
      <c r="D806" s="173" t="s">
        <v>818</v>
      </c>
      <c r="E806" s="176" t="s">
        <v>803</v>
      </c>
      <c r="F806" s="174" t="s">
        <v>702</v>
      </c>
      <c r="G806" s="173" t="s">
        <v>709</v>
      </c>
      <c r="H806" s="175" t="s">
        <v>130</v>
      </c>
    </row>
    <row r="807" spans="1:8" ht="15.75" customHeight="1">
      <c r="A807" s="288"/>
      <c r="B807" s="176" t="s">
        <v>2226</v>
      </c>
      <c r="C807" s="176" t="s">
        <v>2227</v>
      </c>
      <c r="D807" s="176" t="s">
        <v>818</v>
      </c>
      <c r="E807" s="176" t="s">
        <v>803</v>
      </c>
      <c r="F807" s="177" t="s">
        <v>702</v>
      </c>
      <c r="G807" s="176" t="s">
        <v>703</v>
      </c>
      <c r="H807" s="178" t="s">
        <v>130</v>
      </c>
    </row>
    <row r="808" spans="1:8" ht="15.75" customHeight="1">
      <c r="A808" s="288"/>
      <c r="B808" s="173" t="s">
        <v>2228</v>
      </c>
      <c r="C808" s="173" t="s">
        <v>2229</v>
      </c>
      <c r="D808" s="173" t="s">
        <v>818</v>
      </c>
      <c r="E808" s="176" t="s">
        <v>803</v>
      </c>
      <c r="F808" s="174" t="s">
        <v>702</v>
      </c>
      <c r="G808" s="173" t="s">
        <v>726</v>
      </c>
      <c r="H808" s="175" t="s">
        <v>130</v>
      </c>
    </row>
    <row r="809" spans="1:8" ht="15.75" customHeight="1">
      <c r="A809" s="288"/>
      <c r="B809" s="176" t="s">
        <v>2230</v>
      </c>
      <c r="C809" s="176" t="s">
        <v>2231</v>
      </c>
      <c r="D809" s="176" t="s">
        <v>818</v>
      </c>
      <c r="E809" s="176" t="s">
        <v>803</v>
      </c>
      <c r="F809" s="177" t="s">
        <v>702</v>
      </c>
      <c r="G809" s="176" t="s">
        <v>709</v>
      </c>
      <c r="H809" s="178" t="s">
        <v>130</v>
      </c>
    </row>
    <row r="810" spans="1:8" ht="15.75" customHeight="1">
      <c r="A810" s="288"/>
      <c r="B810" s="173" t="s">
        <v>2232</v>
      </c>
      <c r="C810" s="173" t="s">
        <v>2233</v>
      </c>
      <c r="D810" s="173" t="s">
        <v>818</v>
      </c>
      <c r="E810" s="176" t="s">
        <v>803</v>
      </c>
      <c r="F810" s="174" t="s">
        <v>702</v>
      </c>
      <c r="G810" s="173" t="s">
        <v>706</v>
      </c>
      <c r="H810" s="175" t="s">
        <v>130</v>
      </c>
    </row>
    <row r="811" spans="1:8" ht="15.75" customHeight="1">
      <c r="A811" s="288"/>
      <c r="B811" s="176" t="s">
        <v>2234</v>
      </c>
      <c r="C811" s="176" t="s">
        <v>2235</v>
      </c>
      <c r="D811" s="176" t="s">
        <v>818</v>
      </c>
      <c r="E811" s="176" t="s">
        <v>803</v>
      </c>
      <c r="F811" s="177" t="s">
        <v>702</v>
      </c>
      <c r="G811" s="176" t="s">
        <v>706</v>
      </c>
      <c r="H811" s="178" t="s">
        <v>130</v>
      </c>
    </row>
    <row r="812" spans="1:8" ht="15.75" customHeight="1">
      <c r="A812" s="288"/>
      <c r="B812" s="173" t="s">
        <v>2236</v>
      </c>
      <c r="C812" s="173" t="s">
        <v>2237</v>
      </c>
      <c r="D812" s="173" t="s">
        <v>818</v>
      </c>
      <c r="E812" s="176" t="s">
        <v>803</v>
      </c>
      <c r="F812" s="174" t="s">
        <v>702</v>
      </c>
      <c r="G812" s="173" t="s">
        <v>703</v>
      </c>
      <c r="H812" s="175" t="s">
        <v>130</v>
      </c>
    </row>
    <row r="813" spans="1:8" ht="15.75" customHeight="1">
      <c r="A813" s="288"/>
      <c r="B813" s="176" t="s">
        <v>2238</v>
      </c>
      <c r="C813" s="176" t="s">
        <v>2239</v>
      </c>
      <c r="D813" s="176" t="s">
        <v>818</v>
      </c>
      <c r="E813" s="176" t="s">
        <v>803</v>
      </c>
      <c r="F813" s="177" t="s">
        <v>702</v>
      </c>
      <c r="G813" s="176" t="s">
        <v>1383</v>
      </c>
      <c r="H813" s="178" t="s">
        <v>130</v>
      </c>
    </row>
    <row r="814" spans="1:8" ht="15.75" customHeight="1">
      <c r="A814" s="288"/>
      <c r="B814" s="173" t="s">
        <v>2240</v>
      </c>
      <c r="C814" s="173" t="s">
        <v>2241</v>
      </c>
      <c r="D814" s="173" t="s">
        <v>818</v>
      </c>
      <c r="E814" s="176" t="s">
        <v>803</v>
      </c>
      <c r="F814" s="174" t="s">
        <v>702</v>
      </c>
      <c r="G814" s="173" t="s">
        <v>709</v>
      </c>
      <c r="H814" s="175" t="s">
        <v>130</v>
      </c>
    </row>
    <row r="815" spans="1:8" ht="15.75" customHeight="1">
      <c r="A815" s="288"/>
      <c r="B815" s="176" t="s">
        <v>2242</v>
      </c>
      <c r="C815" s="176" t="s">
        <v>2243</v>
      </c>
      <c r="D815" s="176" t="s">
        <v>818</v>
      </c>
      <c r="E815" s="176" t="s">
        <v>803</v>
      </c>
      <c r="F815" s="177" t="s">
        <v>702</v>
      </c>
      <c r="G815" s="176" t="s">
        <v>2244</v>
      </c>
      <c r="H815" s="178" t="s">
        <v>130</v>
      </c>
    </row>
    <row r="816" spans="1:8" ht="15.75" customHeight="1">
      <c r="A816" s="288"/>
      <c r="B816" s="173" t="s">
        <v>2245</v>
      </c>
      <c r="C816" s="173" t="s">
        <v>2246</v>
      </c>
      <c r="D816" s="173" t="s">
        <v>818</v>
      </c>
      <c r="E816" s="176" t="s">
        <v>803</v>
      </c>
      <c r="F816" s="174" t="s">
        <v>702</v>
      </c>
      <c r="G816" s="173" t="s">
        <v>703</v>
      </c>
      <c r="H816" s="175" t="s">
        <v>130</v>
      </c>
    </row>
    <row r="817" spans="1:8" ht="15.75" customHeight="1">
      <c r="A817" s="288"/>
      <c r="B817" s="176" t="s">
        <v>2247</v>
      </c>
      <c r="C817" s="176" t="s">
        <v>2248</v>
      </c>
      <c r="D817" s="176" t="s">
        <v>818</v>
      </c>
      <c r="E817" s="176" t="s">
        <v>803</v>
      </c>
      <c r="F817" s="177" t="s">
        <v>702</v>
      </c>
      <c r="G817" s="176" t="s">
        <v>706</v>
      </c>
      <c r="H817" s="178" t="s">
        <v>130</v>
      </c>
    </row>
    <row r="818" spans="1:8" ht="15.75" customHeight="1">
      <c r="A818" s="288"/>
      <c r="B818" s="173" t="s">
        <v>2249</v>
      </c>
      <c r="C818" s="173" t="s">
        <v>2250</v>
      </c>
      <c r="D818" s="173" t="s">
        <v>818</v>
      </c>
      <c r="E818" s="176" t="s">
        <v>803</v>
      </c>
      <c r="F818" s="174" t="s">
        <v>702</v>
      </c>
      <c r="G818" s="173" t="s">
        <v>709</v>
      </c>
      <c r="H818" s="175" t="s">
        <v>130</v>
      </c>
    </row>
    <row r="819" spans="1:8" ht="15.75" customHeight="1">
      <c r="A819" s="288"/>
      <c r="B819" s="176" t="s">
        <v>2251</v>
      </c>
      <c r="C819" s="176" t="s">
        <v>2252</v>
      </c>
      <c r="D819" s="176" t="s">
        <v>818</v>
      </c>
      <c r="E819" s="176" t="s">
        <v>803</v>
      </c>
      <c r="F819" s="177" t="s">
        <v>702</v>
      </c>
      <c r="G819" s="176" t="s">
        <v>864</v>
      </c>
      <c r="H819" s="178" t="s">
        <v>130</v>
      </c>
    </row>
    <row r="820" spans="1:8" ht="15.75" customHeight="1">
      <c r="A820" s="288"/>
      <c r="B820" s="173" t="s">
        <v>2253</v>
      </c>
      <c r="C820" s="173" t="s">
        <v>2254</v>
      </c>
      <c r="D820" s="173" t="s">
        <v>818</v>
      </c>
      <c r="E820" s="176" t="s">
        <v>803</v>
      </c>
      <c r="F820" s="174" t="s">
        <v>702</v>
      </c>
      <c r="G820" s="173" t="s">
        <v>703</v>
      </c>
      <c r="H820" s="175" t="s">
        <v>130</v>
      </c>
    </row>
    <row r="821" spans="1:8" ht="15.75" customHeight="1">
      <c r="A821" s="288"/>
      <c r="B821" s="176" t="s">
        <v>2255</v>
      </c>
      <c r="C821" s="176" t="s">
        <v>2256</v>
      </c>
      <c r="D821" s="176" t="s">
        <v>818</v>
      </c>
      <c r="E821" s="176" t="s">
        <v>803</v>
      </c>
      <c r="F821" s="177" t="s">
        <v>702</v>
      </c>
      <c r="G821" s="176" t="s">
        <v>706</v>
      </c>
      <c r="H821" s="178" t="s">
        <v>130</v>
      </c>
    </row>
    <row r="822" spans="1:8" ht="15.75" customHeight="1">
      <c r="A822" s="288"/>
      <c r="B822" s="173" t="s">
        <v>2257</v>
      </c>
      <c r="C822" s="173" t="s">
        <v>2258</v>
      </c>
      <c r="D822" s="173" t="s">
        <v>818</v>
      </c>
      <c r="E822" s="176" t="s">
        <v>803</v>
      </c>
      <c r="F822" s="174" t="s">
        <v>702</v>
      </c>
      <c r="G822" s="173" t="s">
        <v>709</v>
      </c>
      <c r="H822" s="175" t="s">
        <v>130</v>
      </c>
    </row>
    <row r="823" spans="1:8" ht="15.75" customHeight="1">
      <c r="A823" s="288"/>
      <c r="B823" s="176" t="s">
        <v>2259</v>
      </c>
      <c r="C823" s="176" t="s">
        <v>2260</v>
      </c>
      <c r="D823" s="176" t="s">
        <v>818</v>
      </c>
      <c r="E823" s="176" t="s">
        <v>803</v>
      </c>
      <c r="F823" s="177" t="s">
        <v>702</v>
      </c>
      <c r="G823" s="176" t="s">
        <v>703</v>
      </c>
      <c r="H823" s="178" t="s">
        <v>130</v>
      </c>
    </row>
    <row r="824" spans="1:8" ht="15.75" customHeight="1">
      <c r="A824" s="288"/>
      <c r="B824" s="173" t="s">
        <v>2261</v>
      </c>
      <c r="C824" s="173" t="s">
        <v>2262</v>
      </c>
      <c r="D824" s="173" t="s">
        <v>818</v>
      </c>
      <c r="E824" s="176" t="s">
        <v>803</v>
      </c>
      <c r="F824" s="174" t="s">
        <v>702</v>
      </c>
      <c r="G824" s="173" t="s">
        <v>706</v>
      </c>
      <c r="H824" s="175" t="s">
        <v>130</v>
      </c>
    </row>
    <row r="825" spans="1:8" ht="15.75" customHeight="1">
      <c r="A825" s="288"/>
      <c r="B825" s="176" t="s">
        <v>2263</v>
      </c>
      <c r="C825" s="176" t="s">
        <v>2264</v>
      </c>
      <c r="D825" s="176" t="s">
        <v>818</v>
      </c>
      <c r="E825" s="176" t="s">
        <v>803</v>
      </c>
      <c r="F825" s="177" t="s">
        <v>702</v>
      </c>
      <c r="G825" s="176" t="s">
        <v>864</v>
      </c>
      <c r="H825" s="178" t="s">
        <v>130</v>
      </c>
    </row>
    <row r="826" spans="1:8" ht="15.75" customHeight="1">
      <c r="A826" s="288"/>
      <c r="B826" s="173" t="s">
        <v>2265</v>
      </c>
      <c r="C826" s="173" t="s">
        <v>2266</v>
      </c>
      <c r="D826" s="173" t="s">
        <v>818</v>
      </c>
      <c r="E826" s="176" t="s">
        <v>803</v>
      </c>
      <c r="F826" s="174" t="s">
        <v>702</v>
      </c>
      <c r="G826" s="173" t="s">
        <v>703</v>
      </c>
      <c r="H826" s="175" t="s">
        <v>130</v>
      </c>
    </row>
    <row r="827" spans="1:8" ht="15.75" customHeight="1">
      <c r="A827" s="288"/>
      <c r="B827" s="176" t="s">
        <v>2267</v>
      </c>
      <c r="C827" s="176" t="s">
        <v>2268</v>
      </c>
      <c r="D827" s="176" t="s">
        <v>818</v>
      </c>
      <c r="E827" s="176" t="s">
        <v>803</v>
      </c>
      <c r="F827" s="177" t="s">
        <v>702</v>
      </c>
      <c r="G827" s="176" t="s">
        <v>2269</v>
      </c>
      <c r="H827" s="178" t="s">
        <v>130</v>
      </c>
    </row>
    <row r="828" spans="1:8" ht="15.75" customHeight="1">
      <c r="A828" s="288"/>
      <c r="B828" s="173" t="s">
        <v>2270</v>
      </c>
      <c r="C828" s="173" t="s">
        <v>2271</v>
      </c>
      <c r="D828" s="173" t="s">
        <v>818</v>
      </c>
      <c r="E828" s="176" t="s">
        <v>803</v>
      </c>
      <c r="F828" s="174" t="s">
        <v>702</v>
      </c>
      <c r="G828" s="173" t="s">
        <v>703</v>
      </c>
      <c r="H828" s="175" t="s">
        <v>130</v>
      </c>
    </row>
    <row r="829" spans="1:8" ht="15.75" customHeight="1">
      <c r="A829" s="288"/>
      <c r="B829" s="176" t="s">
        <v>2272</v>
      </c>
      <c r="C829" s="176" t="s">
        <v>2273</v>
      </c>
      <c r="D829" s="176" t="s">
        <v>818</v>
      </c>
      <c r="E829" s="176" t="s">
        <v>803</v>
      </c>
      <c r="F829" s="177" t="s">
        <v>702</v>
      </c>
      <c r="G829" s="176" t="s">
        <v>709</v>
      </c>
      <c r="H829" s="178" t="s">
        <v>130</v>
      </c>
    </row>
    <row r="830" spans="1:8" ht="15.75" customHeight="1">
      <c r="A830" s="288"/>
      <c r="B830" s="173" t="s">
        <v>2274</v>
      </c>
      <c r="C830" s="173" t="s">
        <v>2275</v>
      </c>
      <c r="D830" s="173" t="s">
        <v>818</v>
      </c>
      <c r="E830" s="176" t="s">
        <v>803</v>
      </c>
      <c r="F830" s="174" t="s">
        <v>702</v>
      </c>
      <c r="G830" s="173" t="s">
        <v>2276</v>
      </c>
      <c r="H830" s="175" t="s">
        <v>130</v>
      </c>
    </row>
    <row r="831" spans="1:8" ht="15.75" customHeight="1">
      <c r="A831" s="288"/>
      <c r="B831" s="176" t="s">
        <v>2277</v>
      </c>
      <c r="C831" s="176" t="s">
        <v>2278</v>
      </c>
      <c r="D831" s="176" t="s">
        <v>818</v>
      </c>
      <c r="E831" s="176" t="s">
        <v>803</v>
      </c>
      <c r="F831" s="177" t="s">
        <v>702</v>
      </c>
      <c r="G831" s="176" t="s">
        <v>706</v>
      </c>
      <c r="H831" s="178" t="s">
        <v>130</v>
      </c>
    </row>
    <row r="832" spans="1:8" ht="15.75" customHeight="1">
      <c r="A832" s="288"/>
      <c r="B832" s="173" t="s">
        <v>2279</v>
      </c>
      <c r="C832" s="173" t="s">
        <v>2280</v>
      </c>
      <c r="D832" s="173" t="s">
        <v>818</v>
      </c>
      <c r="E832" s="176" t="s">
        <v>803</v>
      </c>
      <c r="F832" s="174" t="s">
        <v>702</v>
      </c>
      <c r="G832" s="173" t="s">
        <v>726</v>
      </c>
      <c r="H832" s="175" t="s">
        <v>130</v>
      </c>
    </row>
    <row r="833" spans="1:8" ht="15.75" customHeight="1">
      <c r="A833" s="288"/>
      <c r="B833" s="176" t="s">
        <v>2281</v>
      </c>
      <c r="C833" s="176" t="s">
        <v>2282</v>
      </c>
      <c r="D833" s="176" t="s">
        <v>818</v>
      </c>
      <c r="E833" s="176" t="s">
        <v>803</v>
      </c>
      <c r="F833" s="177" t="s">
        <v>702</v>
      </c>
      <c r="G833" s="176" t="s">
        <v>726</v>
      </c>
      <c r="H833" s="178" t="s">
        <v>130</v>
      </c>
    </row>
    <row r="834" spans="1:8" ht="15.75" customHeight="1">
      <c r="A834" s="288"/>
      <c r="B834" s="173" t="s">
        <v>2283</v>
      </c>
      <c r="C834" s="173" t="s">
        <v>2284</v>
      </c>
      <c r="D834" s="173" t="s">
        <v>818</v>
      </c>
      <c r="E834" s="176" t="s">
        <v>803</v>
      </c>
      <c r="F834" s="174" t="s">
        <v>702</v>
      </c>
      <c r="G834" s="173" t="s">
        <v>706</v>
      </c>
      <c r="H834" s="175" t="s">
        <v>130</v>
      </c>
    </row>
    <row r="835" spans="1:8" ht="15.75" customHeight="1">
      <c r="A835" s="288"/>
      <c r="B835" s="176" t="s">
        <v>2285</v>
      </c>
      <c r="C835" s="176" t="s">
        <v>2286</v>
      </c>
      <c r="D835" s="176" t="s">
        <v>818</v>
      </c>
      <c r="E835" s="176" t="s">
        <v>803</v>
      </c>
      <c r="F835" s="177" t="s">
        <v>702</v>
      </c>
      <c r="G835" s="176" t="s">
        <v>726</v>
      </c>
      <c r="H835" s="178" t="s">
        <v>130</v>
      </c>
    </row>
    <row r="836" spans="1:8" ht="15.75" customHeight="1">
      <c r="A836" s="288"/>
      <c r="B836" s="173" t="s">
        <v>2287</v>
      </c>
      <c r="C836" s="173" t="s">
        <v>2288</v>
      </c>
      <c r="D836" s="173" t="s">
        <v>818</v>
      </c>
      <c r="E836" s="176" t="s">
        <v>803</v>
      </c>
      <c r="F836" s="174" t="s">
        <v>702</v>
      </c>
      <c r="G836" s="173" t="s">
        <v>2289</v>
      </c>
      <c r="H836" s="175" t="s">
        <v>130</v>
      </c>
    </row>
    <row r="837" spans="1:8" ht="15.75" customHeight="1">
      <c r="A837" s="288"/>
      <c r="B837" s="176" t="s">
        <v>2290</v>
      </c>
      <c r="C837" s="176" t="s">
        <v>2291</v>
      </c>
      <c r="D837" s="176" t="s">
        <v>818</v>
      </c>
      <c r="E837" s="176" t="s">
        <v>803</v>
      </c>
      <c r="F837" s="177" t="s">
        <v>702</v>
      </c>
      <c r="G837" s="176" t="s">
        <v>706</v>
      </c>
      <c r="H837" s="178" t="s">
        <v>130</v>
      </c>
    </row>
    <row r="838" spans="1:8" ht="15.75" customHeight="1">
      <c r="A838" s="289"/>
      <c r="B838" s="173" t="s">
        <v>2292</v>
      </c>
      <c r="C838" s="173" t="s">
        <v>2293</v>
      </c>
      <c r="D838" s="173" t="s">
        <v>818</v>
      </c>
      <c r="E838" s="176" t="s">
        <v>803</v>
      </c>
      <c r="F838" s="174" t="s">
        <v>702</v>
      </c>
      <c r="G838" s="173" t="s">
        <v>723</v>
      </c>
      <c r="H838" s="175" t="s">
        <v>130</v>
      </c>
    </row>
    <row r="839" spans="1:8" ht="15.75" customHeight="1">
      <c r="A839" s="287" t="s">
        <v>2294</v>
      </c>
      <c r="B839" s="176" t="s">
        <v>2295</v>
      </c>
      <c r="C839" s="176" t="s">
        <v>2296</v>
      </c>
      <c r="D839" s="176"/>
      <c r="E839" s="176" t="s">
        <v>701</v>
      </c>
      <c r="F839" s="177" t="s">
        <v>702</v>
      </c>
      <c r="G839" s="176" t="s">
        <v>709</v>
      </c>
      <c r="H839" s="178" t="s">
        <v>130</v>
      </c>
    </row>
    <row r="840" spans="1:8" ht="15.75" customHeight="1">
      <c r="A840" s="288"/>
      <c r="B840" s="173" t="s">
        <v>2297</v>
      </c>
      <c r="C840" s="173" t="s">
        <v>2298</v>
      </c>
      <c r="D840" s="173"/>
      <c r="E840" s="176" t="s">
        <v>701</v>
      </c>
      <c r="F840" s="174" t="s">
        <v>702</v>
      </c>
      <c r="G840" s="173" t="s">
        <v>709</v>
      </c>
      <c r="H840" s="175" t="s">
        <v>130</v>
      </c>
    </row>
    <row r="841" spans="1:8" ht="15.75" customHeight="1">
      <c r="A841" s="288"/>
      <c r="B841" s="176" t="s">
        <v>2299</v>
      </c>
      <c r="C841" s="176" t="s">
        <v>2300</v>
      </c>
      <c r="D841" s="176"/>
      <c r="E841" s="176" t="s">
        <v>701</v>
      </c>
      <c r="F841" s="177" t="s">
        <v>702</v>
      </c>
      <c r="G841" s="176" t="s">
        <v>709</v>
      </c>
      <c r="H841" s="178" t="s">
        <v>130</v>
      </c>
    </row>
    <row r="842" spans="1:8" ht="15.75" customHeight="1">
      <c r="A842" s="288"/>
      <c r="B842" s="173" t="s">
        <v>2301</v>
      </c>
      <c r="C842" s="173" t="s">
        <v>2302</v>
      </c>
      <c r="D842" s="173"/>
      <c r="E842" s="176" t="s">
        <v>701</v>
      </c>
      <c r="F842" s="174" t="s">
        <v>702</v>
      </c>
      <c r="G842" s="173" t="s">
        <v>709</v>
      </c>
      <c r="H842" s="175" t="s">
        <v>130</v>
      </c>
    </row>
    <row r="843" spans="1:8" ht="15.75" customHeight="1">
      <c r="A843" s="288"/>
      <c r="B843" s="176" t="s">
        <v>2303</v>
      </c>
      <c r="C843" s="176" t="s">
        <v>2304</v>
      </c>
      <c r="D843" s="176"/>
      <c r="E843" s="176" t="s">
        <v>701</v>
      </c>
      <c r="F843" s="177" t="s">
        <v>702</v>
      </c>
      <c r="G843" s="176" t="s">
        <v>709</v>
      </c>
      <c r="H843" s="178" t="s">
        <v>130</v>
      </c>
    </row>
    <row r="844" spans="1:8" ht="15.75" customHeight="1">
      <c r="A844" s="288"/>
      <c r="B844" s="173" t="s">
        <v>2305</v>
      </c>
      <c r="C844" s="173" t="s">
        <v>2306</v>
      </c>
      <c r="D844" s="173"/>
      <c r="E844" s="176" t="s">
        <v>701</v>
      </c>
      <c r="F844" s="174" t="s">
        <v>702</v>
      </c>
      <c r="G844" s="173" t="s">
        <v>709</v>
      </c>
      <c r="H844" s="175" t="s">
        <v>130</v>
      </c>
    </row>
    <row r="845" spans="1:8" ht="15.75" customHeight="1">
      <c r="A845" s="288"/>
      <c r="B845" s="176" t="s">
        <v>2307</v>
      </c>
      <c r="C845" s="176" t="s">
        <v>2308</v>
      </c>
      <c r="D845" s="176"/>
      <c r="E845" s="176" t="s">
        <v>701</v>
      </c>
      <c r="F845" s="177" t="s">
        <v>702</v>
      </c>
      <c r="G845" s="176" t="s">
        <v>703</v>
      </c>
      <c r="H845" s="178" t="s">
        <v>130</v>
      </c>
    </row>
    <row r="846" spans="1:8" ht="15.75" customHeight="1">
      <c r="A846" s="288"/>
      <c r="B846" s="173" t="s">
        <v>2309</v>
      </c>
      <c r="C846" s="173" t="s">
        <v>2310</v>
      </c>
      <c r="D846" s="173"/>
      <c r="E846" s="176" t="s">
        <v>701</v>
      </c>
      <c r="F846" s="174" t="s">
        <v>702</v>
      </c>
      <c r="G846" s="173" t="s">
        <v>709</v>
      </c>
      <c r="H846" s="175" t="s">
        <v>130</v>
      </c>
    </row>
    <row r="847" spans="1:8" ht="15.75" customHeight="1">
      <c r="A847" s="288"/>
      <c r="B847" s="176" t="s">
        <v>2311</v>
      </c>
      <c r="C847" s="176" t="s">
        <v>2312</v>
      </c>
      <c r="D847" s="176"/>
      <c r="E847" s="176" t="s">
        <v>701</v>
      </c>
      <c r="F847" s="177" t="s">
        <v>702</v>
      </c>
      <c r="G847" s="176" t="s">
        <v>703</v>
      </c>
      <c r="H847" s="178" t="s">
        <v>130</v>
      </c>
    </row>
    <row r="848" spans="1:8" ht="15.75" customHeight="1">
      <c r="A848" s="288"/>
      <c r="B848" s="173" t="s">
        <v>2313</v>
      </c>
      <c r="C848" s="173" t="s">
        <v>2314</v>
      </c>
      <c r="D848" s="173"/>
      <c r="E848" s="176" t="s">
        <v>701</v>
      </c>
      <c r="F848" s="174" t="s">
        <v>702</v>
      </c>
      <c r="G848" s="173" t="s">
        <v>703</v>
      </c>
      <c r="H848" s="175" t="s">
        <v>130</v>
      </c>
    </row>
    <row r="849" spans="1:8" ht="15.75" customHeight="1">
      <c r="A849" s="288"/>
      <c r="B849" s="176" t="s">
        <v>2315</v>
      </c>
      <c r="C849" s="176" t="s">
        <v>2316</v>
      </c>
      <c r="D849" s="176"/>
      <c r="E849" s="176" t="s">
        <v>701</v>
      </c>
      <c r="F849" s="177" t="s">
        <v>702</v>
      </c>
      <c r="G849" s="176" t="s">
        <v>709</v>
      </c>
      <c r="H849" s="178" t="s">
        <v>130</v>
      </c>
    </row>
    <row r="850" spans="1:8" ht="15.75" customHeight="1">
      <c r="A850" s="288"/>
      <c r="B850" s="173" t="s">
        <v>2317</v>
      </c>
      <c r="C850" s="173" t="s">
        <v>2318</v>
      </c>
      <c r="D850" s="173"/>
      <c r="E850" s="176" t="s">
        <v>701</v>
      </c>
      <c r="F850" s="174" t="s">
        <v>702</v>
      </c>
      <c r="G850" s="173" t="s">
        <v>703</v>
      </c>
      <c r="H850" s="175" t="s">
        <v>130</v>
      </c>
    </row>
    <row r="851" spans="1:8" ht="15.75" customHeight="1">
      <c r="A851" s="288"/>
      <c r="B851" s="176" t="s">
        <v>2319</v>
      </c>
      <c r="C851" s="176" t="s">
        <v>2320</v>
      </c>
      <c r="D851" s="176"/>
      <c r="E851" s="176" t="s">
        <v>701</v>
      </c>
      <c r="F851" s="177" t="s">
        <v>702</v>
      </c>
      <c r="G851" s="176" t="s">
        <v>726</v>
      </c>
      <c r="H851" s="178" t="s">
        <v>130</v>
      </c>
    </row>
    <row r="852" spans="1:8" ht="15.75" customHeight="1">
      <c r="A852" s="288"/>
      <c r="B852" s="173" t="s">
        <v>2321</v>
      </c>
      <c r="C852" s="173" t="s">
        <v>2322</v>
      </c>
      <c r="D852" s="173"/>
      <c r="E852" s="176" t="s">
        <v>701</v>
      </c>
      <c r="F852" s="174" t="s">
        <v>702</v>
      </c>
      <c r="G852" s="173" t="s">
        <v>703</v>
      </c>
      <c r="H852" s="175" t="s">
        <v>130</v>
      </c>
    </row>
    <row r="853" spans="1:8" ht="15.75" customHeight="1">
      <c r="A853" s="288"/>
      <c r="B853" s="176" t="s">
        <v>2323</v>
      </c>
      <c r="C853" s="176" t="s">
        <v>2324</v>
      </c>
      <c r="D853" s="176"/>
      <c r="E853" s="176" t="s">
        <v>701</v>
      </c>
      <c r="F853" s="177" t="s">
        <v>702</v>
      </c>
      <c r="G853" s="176" t="s">
        <v>709</v>
      </c>
      <c r="H853" s="178" t="s">
        <v>130</v>
      </c>
    </row>
    <row r="854" spans="1:8" ht="15.75" customHeight="1">
      <c r="A854" s="288"/>
      <c r="B854" s="173" t="s">
        <v>2325</v>
      </c>
      <c r="C854" s="173" t="s">
        <v>2326</v>
      </c>
      <c r="D854" s="173"/>
      <c r="E854" s="176" t="s">
        <v>701</v>
      </c>
      <c r="F854" s="174" t="s">
        <v>702</v>
      </c>
      <c r="G854" s="173" t="s">
        <v>703</v>
      </c>
      <c r="H854" s="175" t="s">
        <v>130</v>
      </c>
    </row>
    <row r="855" spans="1:8" ht="15.75" customHeight="1">
      <c r="A855" s="288"/>
      <c r="B855" s="176" t="s">
        <v>2327</v>
      </c>
      <c r="C855" s="176" t="s">
        <v>2328</v>
      </c>
      <c r="D855" s="176"/>
      <c r="E855" s="176" t="s">
        <v>701</v>
      </c>
      <c r="F855" s="177" t="s">
        <v>702</v>
      </c>
      <c r="G855" s="176" t="s">
        <v>703</v>
      </c>
      <c r="H855" s="178" t="s">
        <v>130</v>
      </c>
    </row>
    <row r="856" spans="1:8" ht="15.75" customHeight="1">
      <c r="A856" s="288"/>
      <c r="B856" s="173" t="s">
        <v>2329</v>
      </c>
      <c r="C856" s="173" t="s">
        <v>2330</v>
      </c>
      <c r="D856" s="173"/>
      <c r="E856" s="176" t="s">
        <v>701</v>
      </c>
      <c r="F856" s="174" t="s">
        <v>702</v>
      </c>
      <c r="G856" s="173" t="s">
        <v>709</v>
      </c>
      <c r="H856" s="175" t="s">
        <v>130</v>
      </c>
    </row>
    <row r="857" spans="1:8" ht="15.75" customHeight="1">
      <c r="A857" s="288"/>
      <c r="B857" s="176" t="s">
        <v>2331</v>
      </c>
      <c r="C857" s="176" t="s">
        <v>2332</v>
      </c>
      <c r="D857" s="176"/>
      <c r="E857" s="176" t="s">
        <v>701</v>
      </c>
      <c r="F857" s="177" t="s">
        <v>702</v>
      </c>
      <c r="G857" s="176" t="s">
        <v>2333</v>
      </c>
      <c r="H857" s="178" t="s">
        <v>130</v>
      </c>
    </row>
    <row r="858" spans="1:8" ht="15.75" customHeight="1">
      <c r="A858" s="288"/>
      <c r="B858" s="173" t="s">
        <v>2334</v>
      </c>
      <c r="C858" s="173" t="s">
        <v>2335</v>
      </c>
      <c r="D858" s="173"/>
      <c r="E858" s="176" t="s">
        <v>701</v>
      </c>
      <c r="F858" s="174" t="s">
        <v>702</v>
      </c>
      <c r="G858" s="173" t="s">
        <v>706</v>
      </c>
      <c r="H858" s="175" t="s">
        <v>130</v>
      </c>
    </row>
    <row r="859" spans="1:8" ht="15.75" customHeight="1">
      <c r="A859" s="288"/>
      <c r="B859" s="176" t="s">
        <v>2336</v>
      </c>
      <c r="C859" s="176" t="s">
        <v>2337</v>
      </c>
      <c r="D859" s="176"/>
      <c r="E859" s="176" t="s">
        <v>701</v>
      </c>
      <c r="F859" s="177" t="s">
        <v>702</v>
      </c>
      <c r="G859" s="176" t="s">
        <v>703</v>
      </c>
      <c r="H859" s="178" t="s">
        <v>130</v>
      </c>
    </row>
    <row r="860" spans="1:8" ht="15.75" customHeight="1">
      <c r="A860" s="288"/>
      <c r="B860" s="173" t="s">
        <v>2338</v>
      </c>
      <c r="C860" s="173" t="s">
        <v>2339</v>
      </c>
      <c r="D860" s="173"/>
      <c r="E860" s="176" t="s">
        <v>701</v>
      </c>
      <c r="F860" s="174" t="s">
        <v>702</v>
      </c>
      <c r="G860" s="173" t="s">
        <v>703</v>
      </c>
      <c r="H860" s="175" t="s">
        <v>130</v>
      </c>
    </row>
    <row r="861" spans="1:8" ht="15.75" customHeight="1">
      <c r="A861" s="288"/>
      <c r="B861" s="176" t="s">
        <v>2340</v>
      </c>
      <c r="C861" s="176" t="s">
        <v>2341</v>
      </c>
      <c r="D861" s="176"/>
      <c r="E861" s="176" t="s">
        <v>701</v>
      </c>
      <c r="F861" s="177" t="s">
        <v>702</v>
      </c>
      <c r="G861" s="176" t="s">
        <v>709</v>
      </c>
      <c r="H861" s="178" t="s">
        <v>130</v>
      </c>
    </row>
    <row r="862" spans="1:8" ht="15.75" customHeight="1">
      <c r="A862" s="288"/>
      <c r="B862" s="173" t="s">
        <v>2342</v>
      </c>
      <c r="C862" s="173" t="s">
        <v>2343</v>
      </c>
      <c r="D862" s="173"/>
      <c r="E862" s="176" t="s">
        <v>701</v>
      </c>
      <c r="F862" s="174" t="s">
        <v>702</v>
      </c>
      <c r="G862" s="173" t="s">
        <v>706</v>
      </c>
      <c r="H862" s="175" t="s">
        <v>130</v>
      </c>
    </row>
    <row r="863" spans="1:8" ht="15.75" customHeight="1">
      <c r="A863" s="288"/>
      <c r="B863" s="176" t="s">
        <v>2344</v>
      </c>
      <c r="C863" s="176" t="s">
        <v>2345</v>
      </c>
      <c r="D863" s="176"/>
      <c r="E863" s="176" t="s">
        <v>701</v>
      </c>
      <c r="F863" s="177" t="s">
        <v>702</v>
      </c>
      <c r="G863" s="176" t="s">
        <v>709</v>
      </c>
      <c r="H863" s="178" t="s">
        <v>130</v>
      </c>
    </row>
    <row r="864" spans="1:8" ht="15.75" customHeight="1">
      <c r="A864" s="288"/>
      <c r="B864" s="173" t="s">
        <v>2346</v>
      </c>
      <c r="C864" s="173" t="s">
        <v>2347</v>
      </c>
      <c r="D864" s="173"/>
      <c r="E864" s="176" t="s">
        <v>701</v>
      </c>
      <c r="F864" s="174" t="s">
        <v>702</v>
      </c>
      <c r="G864" s="173" t="s">
        <v>726</v>
      </c>
      <c r="H864" s="175" t="s">
        <v>130</v>
      </c>
    </row>
    <row r="865" spans="1:8" ht="15.75" customHeight="1">
      <c r="A865" s="288"/>
      <c r="B865" s="176" t="s">
        <v>2348</v>
      </c>
      <c r="C865" s="176" t="s">
        <v>2349</v>
      </c>
      <c r="D865" s="176"/>
      <c r="E865" s="176" t="s">
        <v>701</v>
      </c>
      <c r="F865" s="177" t="s">
        <v>702</v>
      </c>
      <c r="G865" s="176" t="s">
        <v>706</v>
      </c>
      <c r="H865" s="178" t="s">
        <v>130</v>
      </c>
    </row>
    <row r="866" spans="1:8" ht="15.75" customHeight="1">
      <c r="A866" s="288"/>
      <c r="B866" s="173" t="s">
        <v>2350</v>
      </c>
      <c r="C866" s="173" t="s">
        <v>2351</v>
      </c>
      <c r="D866" s="173"/>
      <c r="E866" s="176" t="s">
        <v>701</v>
      </c>
      <c r="F866" s="174" t="s">
        <v>702</v>
      </c>
      <c r="G866" s="173" t="s">
        <v>703</v>
      </c>
      <c r="H866" s="175" t="s">
        <v>130</v>
      </c>
    </row>
    <row r="867" spans="1:8" ht="15.75" customHeight="1">
      <c r="A867" s="288"/>
      <c r="B867" s="176" t="s">
        <v>2352</v>
      </c>
      <c r="C867" s="176" t="s">
        <v>2353</v>
      </c>
      <c r="D867" s="176"/>
      <c r="E867" s="176" t="s">
        <v>701</v>
      </c>
      <c r="F867" s="177" t="s">
        <v>702</v>
      </c>
      <c r="G867" s="176" t="s">
        <v>709</v>
      </c>
      <c r="H867" s="178" t="s">
        <v>130</v>
      </c>
    </row>
    <row r="868" spans="1:8" ht="15.75" customHeight="1">
      <c r="A868" s="288"/>
      <c r="B868" s="173" t="s">
        <v>2354</v>
      </c>
      <c r="C868" s="173" t="s">
        <v>2355</v>
      </c>
      <c r="D868" s="173"/>
      <c r="E868" s="176" t="s">
        <v>701</v>
      </c>
      <c r="F868" s="174" t="s">
        <v>702</v>
      </c>
      <c r="G868" s="173" t="s">
        <v>703</v>
      </c>
      <c r="H868" s="175" t="s">
        <v>130</v>
      </c>
    </row>
    <row r="869" spans="1:8" ht="15.75" customHeight="1">
      <c r="A869" s="288"/>
      <c r="B869" s="176" t="s">
        <v>2356</v>
      </c>
      <c r="C869" s="176" t="s">
        <v>2357</v>
      </c>
      <c r="D869" s="176"/>
      <c r="E869" s="176" t="s">
        <v>701</v>
      </c>
      <c r="F869" s="177" t="s">
        <v>702</v>
      </c>
      <c r="G869" s="176" t="s">
        <v>709</v>
      </c>
      <c r="H869" s="178" t="s">
        <v>130</v>
      </c>
    </row>
    <row r="870" spans="1:8" ht="15.75" customHeight="1">
      <c r="A870" s="288"/>
      <c r="B870" s="173" t="s">
        <v>2358</v>
      </c>
      <c r="C870" s="173" t="s">
        <v>2359</v>
      </c>
      <c r="D870" s="173"/>
      <c r="E870" s="176" t="s">
        <v>701</v>
      </c>
      <c r="F870" s="174" t="s">
        <v>702</v>
      </c>
      <c r="G870" s="173" t="s">
        <v>709</v>
      </c>
      <c r="H870" s="175" t="s">
        <v>130</v>
      </c>
    </row>
    <row r="871" spans="1:8" ht="15.75" customHeight="1">
      <c r="A871" s="288"/>
      <c r="B871" s="176" t="s">
        <v>2360</v>
      </c>
      <c r="C871" s="176" t="s">
        <v>2361</v>
      </c>
      <c r="D871" s="176"/>
      <c r="E871" s="176" t="s">
        <v>701</v>
      </c>
      <c r="F871" s="177" t="s">
        <v>702</v>
      </c>
      <c r="G871" s="176" t="s">
        <v>812</v>
      </c>
      <c r="H871" s="178" t="s">
        <v>130</v>
      </c>
    </row>
    <row r="872" spans="1:8" ht="15.75" customHeight="1">
      <c r="A872" s="288"/>
      <c r="B872" s="173" t="s">
        <v>2362</v>
      </c>
      <c r="C872" s="173" t="s">
        <v>2363</v>
      </c>
      <c r="D872" s="173"/>
      <c r="E872" s="176" t="s">
        <v>701</v>
      </c>
      <c r="F872" s="174" t="s">
        <v>702</v>
      </c>
      <c r="G872" s="173" t="s">
        <v>709</v>
      </c>
      <c r="H872" s="175" t="s">
        <v>130</v>
      </c>
    </row>
    <row r="873" spans="1:8" ht="15.75" customHeight="1">
      <c r="A873" s="288"/>
      <c r="B873" s="176" t="s">
        <v>2364</v>
      </c>
      <c r="C873" s="176" t="s">
        <v>2365</v>
      </c>
      <c r="D873" s="176"/>
      <c r="E873" s="176" t="s">
        <v>701</v>
      </c>
      <c r="F873" s="177" t="s">
        <v>702</v>
      </c>
      <c r="G873" s="176" t="s">
        <v>726</v>
      </c>
      <c r="H873" s="178" t="s">
        <v>130</v>
      </c>
    </row>
    <row r="874" spans="1:8" ht="15.75" customHeight="1">
      <c r="A874" s="288"/>
      <c r="B874" s="173" t="s">
        <v>2366</v>
      </c>
      <c r="C874" s="173" t="s">
        <v>2367</v>
      </c>
      <c r="D874" s="173"/>
      <c r="E874" s="176" t="s">
        <v>701</v>
      </c>
      <c r="F874" s="174" t="s">
        <v>702</v>
      </c>
      <c r="G874" s="173" t="s">
        <v>709</v>
      </c>
      <c r="H874" s="175" t="s">
        <v>130</v>
      </c>
    </row>
    <row r="875" spans="1:8" ht="15.75" customHeight="1">
      <c r="A875" s="288"/>
      <c r="B875" s="176" t="s">
        <v>2368</v>
      </c>
      <c r="C875" s="176" t="s">
        <v>2369</v>
      </c>
      <c r="D875" s="176"/>
      <c r="E875" s="176" t="s">
        <v>701</v>
      </c>
      <c r="F875" s="177" t="s">
        <v>702</v>
      </c>
      <c r="G875" s="176" t="s">
        <v>703</v>
      </c>
      <c r="H875" s="178" t="s">
        <v>130</v>
      </c>
    </row>
    <row r="876" spans="1:8" ht="15.75" customHeight="1">
      <c r="A876" s="288"/>
      <c r="B876" s="173" t="s">
        <v>2370</v>
      </c>
      <c r="C876" s="173" t="s">
        <v>2371</v>
      </c>
      <c r="D876" s="173"/>
      <c r="E876" s="176" t="s">
        <v>701</v>
      </c>
      <c r="F876" s="174" t="s">
        <v>702</v>
      </c>
      <c r="G876" s="173" t="s">
        <v>703</v>
      </c>
      <c r="H876" s="175" t="s">
        <v>130</v>
      </c>
    </row>
    <row r="877" spans="1:8" ht="15.75" customHeight="1">
      <c r="A877" s="288"/>
      <c r="B877" s="176" t="s">
        <v>2372</v>
      </c>
      <c r="C877" s="176" t="s">
        <v>2373</v>
      </c>
      <c r="D877" s="176"/>
      <c r="E877" s="176" t="s">
        <v>701</v>
      </c>
      <c r="F877" s="177" t="s">
        <v>702</v>
      </c>
      <c r="G877" s="176" t="s">
        <v>703</v>
      </c>
      <c r="H877" s="178" t="s">
        <v>130</v>
      </c>
    </row>
    <row r="878" spans="1:8" ht="15.75" customHeight="1">
      <c r="A878" s="288"/>
      <c r="B878" s="173" t="s">
        <v>2374</v>
      </c>
      <c r="C878" s="173" t="s">
        <v>2375</v>
      </c>
      <c r="D878" s="173"/>
      <c r="E878" s="176" t="s">
        <v>701</v>
      </c>
      <c r="F878" s="174" t="s">
        <v>702</v>
      </c>
      <c r="G878" s="173" t="s">
        <v>709</v>
      </c>
      <c r="H878" s="175" t="s">
        <v>130</v>
      </c>
    </row>
    <row r="879" spans="1:8" ht="15.75" customHeight="1">
      <c r="A879" s="291"/>
      <c r="B879" s="185" t="s">
        <v>2376</v>
      </c>
      <c r="C879" s="185" t="s">
        <v>2377</v>
      </c>
      <c r="D879" s="185"/>
      <c r="E879" s="185" t="s">
        <v>701</v>
      </c>
      <c r="F879" s="186" t="s">
        <v>702</v>
      </c>
      <c r="G879" s="185" t="s">
        <v>709</v>
      </c>
      <c r="H879" s="187" t="s">
        <v>130</v>
      </c>
    </row>
    <row r="880" spans="1:8"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748:A757"/>
    <mergeCell ref="A758:A838"/>
    <mergeCell ref="A839:A879"/>
    <mergeCell ref="A265:A343"/>
    <mergeCell ref="A344:A535"/>
    <mergeCell ref="A536:A712"/>
    <mergeCell ref="A713:A714"/>
    <mergeCell ref="F713:F714"/>
    <mergeCell ref="G713:G714"/>
    <mergeCell ref="H713:H714"/>
    <mergeCell ref="A715:A730"/>
    <mergeCell ref="A731:A747"/>
    <mergeCell ref="B713:B714"/>
    <mergeCell ref="C713:C714"/>
    <mergeCell ref="D713:D714"/>
    <mergeCell ref="G263:G264"/>
    <mergeCell ref="H263:H264"/>
    <mergeCell ref="A75:A114"/>
    <mergeCell ref="A115:A118"/>
    <mergeCell ref="A119:A121"/>
    <mergeCell ref="A123:A174"/>
    <mergeCell ref="A175:A224"/>
    <mergeCell ref="A225:A254"/>
    <mergeCell ref="A255:A262"/>
    <mergeCell ref="A263:A264"/>
    <mergeCell ref="B263:B264"/>
    <mergeCell ref="C263:C264"/>
    <mergeCell ref="D263:D264"/>
    <mergeCell ref="F263:F26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sheetViews>
  <sheetFormatPr baseColWidth="10" defaultColWidth="11.1640625" defaultRowHeight="15" customHeight="1"/>
  <cols>
    <col min="1" max="1" width="10" customWidth="1"/>
    <col min="2" max="26" width="8.5" customWidth="1"/>
  </cols>
  <sheetData>
    <row r="1" spans="1:3" ht="15.75" customHeight="1">
      <c r="A1" s="13" t="s">
        <v>2378</v>
      </c>
      <c r="B1" s="13" t="s">
        <v>2379</v>
      </c>
    </row>
    <row r="2" spans="1:3" ht="15.75" customHeight="1">
      <c r="A2" s="13">
        <v>1</v>
      </c>
      <c r="B2" s="68" t="s">
        <v>2380</v>
      </c>
    </row>
    <row r="3" spans="1:3" ht="15.75" customHeight="1"/>
    <row r="4" spans="1:3" ht="15.75" customHeight="1">
      <c r="A4" s="188" t="s">
        <v>390</v>
      </c>
    </row>
    <row r="5" spans="1:3" ht="15.75" customHeight="1">
      <c r="A5" s="188" t="s">
        <v>2381</v>
      </c>
    </row>
    <row r="6" spans="1:3" ht="15.75" customHeight="1"/>
    <row r="7" spans="1:3" ht="15.75" customHeight="1"/>
    <row r="8" spans="1:3" ht="15.75" customHeight="1">
      <c r="C8" s="188" t="s">
        <v>2382</v>
      </c>
    </row>
    <row r="9" spans="1:3" ht="15.75" customHeight="1">
      <c r="C9" s="188" t="s">
        <v>2383</v>
      </c>
    </row>
    <row r="10" spans="1:3" ht="15.75" customHeight="1">
      <c r="C10" s="50"/>
    </row>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 r:id="rId1" xr:uid="{00000000-0004-0000-0600-000000000000}"/>
    <hyperlink ref="A4" r:id="rId2" xr:uid="{00000000-0004-0000-0600-000001000000}"/>
    <hyperlink ref="A5" r:id="rId3" xr:uid="{00000000-0004-0000-0600-000002000000}"/>
    <hyperlink ref="C8" r:id="rId4" xr:uid="{00000000-0004-0000-0600-000003000000}"/>
    <hyperlink ref="C9" r:id="rId5" xr:uid="{00000000-0004-0000-0600-000004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workbookViewId="0"/>
  </sheetViews>
  <sheetFormatPr baseColWidth="10" defaultColWidth="11.1640625" defaultRowHeight="15" customHeight="1"/>
  <cols>
    <col min="1" max="1" width="16.6640625" customWidth="1"/>
    <col min="2" max="26" width="8.5" customWidth="1"/>
  </cols>
  <sheetData>
    <row r="1" spans="1:2" ht="15.75" customHeight="1">
      <c r="A1" s="13" t="s">
        <v>2384</v>
      </c>
      <c r="B1" s="68" t="s">
        <v>2385</v>
      </c>
    </row>
    <row r="2" spans="1:2" ht="15.75" customHeight="1">
      <c r="A2" s="13" t="s">
        <v>91</v>
      </c>
      <c r="B2" s="13" t="s">
        <v>399</v>
      </c>
    </row>
    <row r="3" spans="1:2" ht="15.75" customHeight="1">
      <c r="A3" s="13" t="s">
        <v>2386</v>
      </c>
    </row>
    <row r="4" spans="1:2" ht="15.75" customHeight="1">
      <c r="A4" s="13" t="s">
        <v>2387</v>
      </c>
    </row>
    <row r="5" spans="1:2" ht="15.75" customHeight="1"/>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 r:id="rId1" xr:uid="{00000000-0004-0000-07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heetViews>
  <sheetFormatPr baseColWidth="10" defaultColWidth="11.1640625" defaultRowHeight="15" customHeight="1"/>
  <cols>
    <col min="1" max="1" width="12" customWidth="1"/>
    <col min="2" max="2" width="25.83203125" customWidth="1"/>
    <col min="3" max="26" width="8.5" customWidth="1"/>
  </cols>
  <sheetData>
    <row r="1" spans="1:2" ht="15.75" customHeight="1">
      <c r="A1" s="189" t="s">
        <v>2388</v>
      </c>
      <c r="B1" s="189" t="s">
        <v>2389</v>
      </c>
    </row>
    <row r="2" spans="1:2" ht="15.75" customHeight="1">
      <c r="A2" s="13" t="s">
        <v>14</v>
      </c>
      <c r="B2" s="13" t="s">
        <v>2390</v>
      </c>
    </row>
    <row r="3" spans="1:2" ht="15.75" customHeight="1">
      <c r="A3" s="13" t="s">
        <v>10</v>
      </c>
      <c r="B3" s="13" t="s">
        <v>2391</v>
      </c>
    </row>
    <row r="4" spans="1:2" ht="15.75" customHeight="1">
      <c r="A4" s="13" t="s">
        <v>13</v>
      </c>
      <c r="B4" s="13" t="s">
        <v>2392</v>
      </c>
    </row>
    <row r="5" spans="1:2" ht="15.75" customHeight="1">
      <c r="A5" s="13" t="s">
        <v>16</v>
      </c>
      <c r="B5" s="13" t="s">
        <v>2393</v>
      </c>
    </row>
    <row r="6" spans="1:2" ht="15.75" customHeight="1">
      <c r="A6" s="13" t="s">
        <v>150</v>
      </c>
      <c r="B6" s="13" t="s">
        <v>130</v>
      </c>
    </row>
    <row r="7" spans="1:2" ht="15.75" customHeight="1">
      <c r="A7" s="13" t="s">
        <v>193</v>
      </c>
      <c r="B7" s="13" t="s">
        <v>2394</v>
      </c>
    </row>
    <row r="8" spans="1:2" ht="15.75" customHeight="1">
      <c r="A8" s="13" t="s">
        <v>197</v>
      </c>
      <c r="B8" s="13" t="s">
        <v>2395</v>
      </c>
    </row>
    <row r="9" spans="1:2" ht="15.75" customHeight="1">
      <c r="A9" s="13" t="s">
        <v>30</v>
      </c>
      <c r="B9" s="13" t="s">
        <v>130</v>
      </c>
    </row>
    <row r="10" spans="1:2" ht="15.75" customHeight="1">
      <c r="A10" s="13" t="s">
        <v>25</v>
      </c>
      <c r="B10" s="13" t="s">
        <v>2396</v>
      </c>
    </row>
    <row r="11" spans="1:2" ht="15.75" customHeight="1">
      <c r="A11" s="13" t="s">
        <v>21</v>
      </c>
      <c r="B11" s="13" t="s">
        <v>130</v>
      </c>
    </row>
    <row r="12" spans="1:2" ht="15.75" customHeight="1">
      <c r="A12" s="13" t="s">
        <v>92</v>
      </c>
      <c r="B12" s="13" t="s">
        <v>2397</v>
      </c>
    </row>
    <row r="13" spans="1:2" ht="15.75" customHeight="1">
      <c r="A13" s="13" t="s">
        <v>23</v>
      </c>
      <c r="B13" s="13" t="s">
        <v>2398</v>
      </c>
    </row>
    <row r="14" spans="1:2" ht="15.75" customHeight="1">
      <c r="A14" s="13" t="s">
        <v>164</v>
      </c>
      <c r="B14" s="13" t="s">
        <v>130</v>
      </c>
    </row>
    <row r="15" spans="1:2" ht="15.75" customHeight="1">
      <c r="A15" s="13" t="s">
        <v>99</v>
      </c>
      <c r="B15" s="13" t="s">
        <v>130</v>
      </c>
    </row>
    <row r="16" spans="1:2" ht="15.75" customHeight="1">
      <c r="A16" s="13" t="s">
        <v>226</v>
      </c>
      <c r="B16" s="13" t="s">
        <v>130</v>
      </c>
    </row>
    <row r="17" spans="1:2" ht="15.75" customHeight="1">
      <c r="A17" s="13" t="s">
        <v>91</v>
      </c>
      <c r="B17" s="13" t="s">
        <v>130</v>
      </c>
    </row>
    <row r="18" spans="1:2" ht="15.75" customHeight="1">
      <c r="A18" s="3" t="s">
        <v>17</v>
      </c>
      <c r="B18" s="13" t="s">
        <v>130</v>
      </c>
    </row>
    <row r="19" spans="1:2" ht="15.75" customHeight="1">
      <c r="A19" s="3" t="s">
        <v>19</v>
      </c>
      <c r="B19" s="13" t="s">
        <v>2399</v>
      </c>
    </row>
    <row r="20" spans="1:2" ht="15.75" customHeight="1">
      <c r="A20" s="3" t="s">
        <v>315</v>
      </c>
      <c r="B20" s="13" t="s">
        <v>2400</v>
      </c>
    </row>
    <row r="21" spans="1:2" ht="15.75" customHeight="1">
      <c r="A21" s="3" t="s">
        <v>22</v>
      </c>
      <c r="B21" s="13" t="s">
        <v>2401</v>
      </c>
    </row>
    <row r="22" spans="1:2" ht="15.75" customHeight="1">
      <c r="A22" s="3" t="s">
        <v>26</v>
      </c>
      <c r="B22" s="13" t="s">
        <v>130</v>
      </c>
    </row>
    <row r="23" spans="1:2" ht="15.75" customHeight="1">
      <c r="A23" s="3" t="s">
        <v>28</v>
      </c>
      <c r="B23" s="13" t="s">
        <v>2402</v>
      </c>
    </row>
    <row r="24" spans="1:2" ht="15.75" customHeight="1"/>
    <row r="25" spans="1:2" ht="15.75" customHeight="1">
      <c r="A25" s="3"/>
    </row>
    <row r="26" spans="1:2" ht="15.75" customHeight="1"/>
    <row r="27" spans="1:2" ht="15.75" customHeight="1">
      <c r="A27" s="3"/>
    </row>
    <row r="28" spans="1:2" ht="15.75" customHeight="1">
      <c r="A28" s="3"/>
    </row>
    <row r="29" spans="1:2" ht="15.75" customHeight="1">
      <c r="A29" s="3"/>
    </row>
    <row r="30" spans="1:2" ht="15.75" customHeight="1"/>
    <row r="31" spans="1:2" ht="15.75" customHeight="1">
      <c r="A31" s="3"/>
    </row>
    <row r="32" spans="1:2" ht="15.75" customHeight="1"/>
    <row r="33" spans="1:1" ht="15.75" customHeight="1">
      <c r="A33" s="3"/>
    </row>
    <row r="34" spans="1:1" ht="15.75" customHeight="1">
      <c r="A34" s="3"/>
    </row>
    <row r="35" spans="1:1" ht="15.75" customHeight="1">
      <c r="A35" s="3"/>
    </row>
    <row r="36" spans="1:1" ht="15.75" customHeight="1">
      <c r="A36" s="3"/>
    </row>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00"/>
  <sheetViews>
    <sheetView workbookViewId="0"/>
  </sheetViews>
  <sheetFormatPr baseColWidth="10" defaultColWidth="11.1640625" defaultRowHeight="15" customHeight="1"/>
  <cols>
    <col min="1" max="26" width="8.5" customWidth="1"/>
  </cols>
  <sheetData>
    <row r="1" spans="1:8" ht="15.75" customHeight="1">
      <c r="A1" s="190" t="s">
        <v>278</v>
      </c>
      <c r="B1" s="14" t="s">
        <v>279</v>
      </c>
      <c r="C1" s="14">
        <v>5</v>
      </c>
      <c r="D1" s="14">
        <v>30000000</v>
      </c>
      <c r="E1" s="191">
        <v>500</v>
      </c>
      <c r="F1" s="14" t="s">
        <v>389</v>
      </c>
      <c r="G1" s="122">
        <v>50</v>
      </c>
      <c r="H1" s="68" t="s">
        <v>424</v>
      </c>
    </row>
    <row r="2" spans="1:8" ht="15.75" customHeight="1">
      <c r="A2" s="192" t="s">
        <v>2403</v>
      </c>
      <c r="B2" s="124" t="s">
        <v>279</v>
      </c>
      <c r="C2" s="124">
        <v>5</v>
      </c>
      <c r="D2" s="124">
        <v>30000000</v>
      </c>
      <c r="E2" s="193">
        <v>500</v>
      </c>
      <c r="F2" s="194" t="s">
        <v>389</v>
      </c>
      <c r="G2" s="125">
        <v>50</v>
      </c>
    </row>
    <row r="3" spans="1:8" ht="15.75" customHeight="1">
      <c r="A3" s="195" t="s">
        <v>290</v>
      </c>
      <c r="B3" s="14" t="s">
        <v>279</v>
      </c>
      <c r="C3" s="14">
        <v>5</v>
      </c>
      <c r="D3" s="14">
        <v>30000000</v>
      </c>
      <c r="E3" s="196">
        <v>500</v>
      </c>
      <c r="F3" s="14" t="s">
        <v>389</v>
      </c>
      <c r="G3" s="122">
        <v>101</v>
      </c>
      <c r="H3" s="68" t="s">
        <v>425</v>
      </c>
    </row>
    <row r="4" spans="1:8" ht="15.75" customHeight="1">
      <c r="A4" s="197" t="s">
        <v>2404</v>
      </c>
      <c r="B4" s="124" t="s">
        <v>279</v>
      </c>
      <c r="C4" s="124">
        <v>5</v>
      </c>
      <c r="D4" s="124">
        <v>30000000</v>
      </c>
      <c r="E4" s="198">
        <v>500</v>
      </c>
      <c r="F4" s="194" t="s">
        <v>389</v>
      </c>
      <c r="G4" s="125">
        <v>101</v>
      </c>
    </row>
    <row r="5" spans="1:8" ht="15.75" customHeight="1">
      <c r="A5" s="199" t="s">
        <v>292</v>
      </c>
      <c r="B5" s="14" t="s">
        <v>293</v>
      </c>
      <c r="C5" s="14">
        <v>60</v>
      </c>
      <c r="D5" s="14"/>
      <c r="E5" s="14"/>
      <c r="F5" s="14"/>
      <c r="G5" s="122"/>
      <c r="H5" s="68" t="s">
        <v>426</v>
      </c>
    </row>
    <row r="6" spans="1:8" ht="15.75" customHeight="1">
      <c r="A6" s="200" t="s">
        <v>2405</v>
      </c>
      <c r="B6" s="4" t="s">
        <v>293</v>
      </c>
      <c r="C6" s="4">
        <v>60</v>
      </c>
      <c r="D6" s="4"/>
      <c r="E6" s="4"/>
      <c r="F6" s="4"/>
      <c r="G6" s="138"/>
      <c r="H6" s="49"/>
    </row>
    <row r="7" spans="1:8" ht="15.75" customHeight="1">
      <c r="A7" s="129" t="s">
        <v>357</v>
      </c>
      <c r="B7" s="14" t="s">
        <v>293</v>
      </c>
      <c r="C7" s="201">
        <v>6</v>
      </c>
      <c r="D7" s="201">
        <v>28000000</v>
      </c>
      <c r="E7" s="132">
        <v>27</v>
      </c>
      <c r="F7" s="201" t="s">
        <v>389</v>
      </c>
      <c r="G7" s="122">
        <v>50</v>
      </c>
      <c r="H7" s="13" t="s">
        <v>2406</v>
      </c>
    </row>
    <row r="8" spans="1:8" ht="15.75" customHeight="1">
      <c r="A8" s="202" t="s">
        <v>368</v>
      </c>
      <c r="B8" s="4" t="s">
        <v>293</v>
      </c>
      <c r="C8" s="5">
        <v>6</v>
      </c>
      <c r="D8" s="5">
        <v>21500000</v>
      </c>
      <c r="E8" s="57">
        <v>27</v>
      </c>
      <c r="F8" s="5" t="s">
        <v>389</v>
      </c>
      <c r="G8" s="138">
        <v>50</v>
      </c>
    </row>
    <row r="9" spans="1:8" ht="15.75" customHeight="1">
      <c r="A9" s="134" t="s">
        <v>358</v>
      </c>
      <c r="B9" s="4" t="s">
        <v>293</v>
      </c>
      <c r="C9" s="5">
        <v>6</v>
      </c>
      <c r="D9" s="5">
        <v>28000000</v>
      </c>
      <c r="E9" s="127">
        <v>99</v>
      </c>
      <c r="F9" s="5" t="s">
        <v>389</v>
      </c>
      <c r="G9" s="138">
        <v>50</v>
      </c>
    </row>
    <row r="10" spans="1:8" ht="15.75" customHeight="1">
      <c r="A10" s="203" t="s">
        <v>373</v>
      </c>
      <c r="B10" s="124" t="s">
        <v>293</v>
      </c>
      <c r="C10" s="194">
        <v>6</v>
      </c>
      <c r="D10" s="194">
        <v>21500000</v>
      </c>
      <c r="E10" s="204">
        <v>99</v>
      </c>
      <c r="F10" s="194" t="s">
        <v>389</v>
      </c>
      <c r="G10" s="125">
        <v>50</v>
      </c>
    </row>
    <row r="11" spans="1:8" ht="15.75" customHeight="1">
      <c r="A11" s="121" t="s">
        <v>353</v>
      </c>
      <c r="B11" s="14" t="s">
        <v>293</v>
      </c>
      <c r="C11" s="14"/>
      <c r="D11" s="14">
        <v>14000000</v>
      </c>
      <c r="E11" s="14"/>
      <c r="F11" s="14" t="s">
        <v>401</v>
      </c>
      <c r="G11" s="122">
        <v>76</v>
      </c>
    </row>
    <row r="12" spans="1:8" ht="15.75" customHeight="1">
      <c r="A12" s="205" t="s">
        <v>354</v>
      </c>
      <c r="B12" s="4" t="s">
        <v>279</v>
      </c>
      <c r="C12" s="4"/>
      <c r="D12" s="4">
        <v>24000000</v>
      </c>
      <c r="E12" s="4">
        <v>42</v>
      </c>
      <c r="F12" s="4" t="s">
        <v>389</v>
      </c>
      <c r="G12" s="138">
        <v>76</v>
      </c>
      <c r="H12" s="13" t="s">
        <v>2407</v>
      </c>
    </row>
    <row r="13" spans="1:8" ht="15.75" customHeight="1">
      <c r="A13" s="121" t="s">
        <v>2408</v>
      </c>
      <c r="B13" s="14" t="s">
        <v>293</v>
      </c>
      <c r="C13" s="14">
        <v>2</v>
      </c>
      <c r="D13" s="201">
        <v>65000000</v>
      </c>
      <c r="E13" s="206">
        <v>62</v>
      </c>
      <c r="F13" s="201" t="s">
        <v>389</v>
      </c>
      <c r="G13" s="122">
        <v>101</v>
      </c>
      <c r="H13" s="68" t="s">
        <v>2409</v>
      </c>
    </row>
    <row r="14" spans="1:8" ht="15.75" customHeight="1">
      <c r="A14" s="207"/>
      <c r="B14" s="208"/>
      <c r="C14" s="208"/>
      <c r="D14" s="208"/>
      <c r="E14" s="208"/>
      <c r="F14" s="208"/>
      <c r="G14" s="209"/>
      <c r="H14" s="13" t="s">
        <v>2410</v>
      </c>
    </row>
    <row r="15" spans="1:8" ht="15.75" customHeight="1"/>
    <row r="16" spans="1: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H1" r:id="rId1" xr:uid="{00000000-0004-0000-0900-000000000000}"/>
    <hyperlink ref="H3" r:id="rId2" xr:uid="{00000000-0004-0000-0900-000001000000}"/>
    <hyperlink ref="H5" r:id="rId3" xr:uid="{00000000-0004-0000-0900-000002000000}"/>
    <hyperlink ref="H13" r:id="rId4" xr:uid="{00000000-0004-0000-0900-000003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1.1640625" defaultRowHeight="15" customHeight="1"/>
  <cols>
    <col min="1" max="4" width="8.5" customWidth="1"/>
    <col min="5" max="5" width="17.1640625" customWidth="1"/>
    <col min="6" max="6" width="37.83203125" customWidth="1"/>
    <col min="7" max="17" width="8.5" customWidth="1"/>
    <col min="18" max="18" width="11.5" customWidth="1"/>
    <col min="19" max="19" width="14.83203125" customWidth="1"/>
    <col min="20" max="20" width="19.5" customWidth="1"/>
    <col min="21" max="21" width="14" customWidth="1"/>
    <col min="22" max="23" width="13.5" customWidth="1"/>
    <col min="24" max="24" width="16.1640625" customWidth="1"/>
    <col min="25" max="25" width="23.83203125" customWidth="1"/>
    <col min="26" max="26" width="13.5" customWidth="1"/>
  </cols>
  <sheetData>
    <row r="1" spans="1:26" ht="15.75" customHeight="1">
      <c r="C1" s="296" t="s">
        <v>2411</v>
      </c>
      <c r="D1" s="260"/>
      <c r="E1" s="260"/>
      <c r="F1" s="260"/>
      <c r="G1" s="260"/>
      <c r="H1" s="260"/>
      <c r="I1" s="260"/>
      <c r="J1" s="296" t="s">
        <v>2412</v>
      </c>
      <c r="K1" s="260"/>
      <c r="L1" s="260"/>
      <c r="M1" s="260"/>
      <c r="N1" s="260"/>
      <c r="O1" s="260"/>
      <c r="P1" s="260"/>
      <c r="Q1" s="194" t="s">
        <v>2413</v>
      </c>
      <c r="R1" s="210" t="s">
        <v>2414</v>
      </c>
      <c r="S1" s="210" t="s">
        <v>2415</v>
      </c>
      <c r="T1" s="210" t="s">
        <v>2416</v>
      </c>
      <c r="U1" s="210" t="s">
        <v>2417</v>
      </c>
      <c r="V1" s="210" t="s">
        <v>2418</v>
      </c>
      <c r="W1" s="210" t="s">
        <v>2419</v>
      </c>
      <c r="X1" s="210" t="s">
        <v>2420</v>
      </c>
      <c r="Y1" s="210" t="s">
        <v>2421</v>
      </c>
      <c r="Z1" s="210" t="s">
        <v>2422</v>
      </c>
    </row>
    <row r="2" spans="1:26" ht="15.75" customHeight="1">
      <c r="A2" s="292" t="s">
        <v>2423</v>
      </c>
      <c r="B2" s="211" t="s">
        <v>2424</v>
      </c>
      <c r="C2" s="212">
        <v>2019</v>
      </c>
      <c r="D2" s="293" t="s">
        <v>2425</v>
      </c>
      <c r="E2" s="265"/>
      <c r="F2" s="265"/>
      <c r="G2" s="265"/>
      <c r="H2" s="265"/>
      <c r="I2" s="265"/>
      <c r="J2" s="295" t="s">
        <v>2426</v>
      </c>
      <c r="K2" s="259"/>
      <c r="L2" s="259"/>
      <c r="M2" s="259"/>
      <c r="N2" s="259"/>
      <c r="O2" s="259"/>
      <c r="P2" s="259"/>
      <c r="Q2" s="295" t="s">
        <v>932</v>
      </c>
      <c r="R2" s="295" t="s">
        <v>2427</v>
      </c>
      <c r="S2" s="295" t="s">
        <v>2428</v>
      </c>
      <c r="T2" s="295" t="s">
        <v>2429</v>
      </c>
      <c r="U2" s="295" t="s">
        <v>2430</v>
      </c>
      <c r="V2" s="295" t="s">
        <v>2430</v>
      </c>
      <c r="W2" s="293" t="s">
        <v>2431</v>
      </c>
    </row>
    <row r="3" spans="1:26" ht="15.75" customHeight="1">
      <c r="A3" s="251"/>
      <c r="D3" s="265"/>
      <c r="E3" s="265"/>
      <c r="F3" s="265"/>
      <c r="G3" s="265"/>
      <c r="H3" s="265"/>
      <c r="I3" s="265"/>
      <c r="J3" s="265"/>
      <c r="K3" s="265"/>
      <c r="L3" s="265"/>
      <c r="M3" s="265"/>
      <c r="N3" s="265"/>
      <c r="O3" s="265"/>
      <c r="P3" s="265"/>
      <c r="Q3" s="265"/>
      <c r="R3" s="265"/>
      <c r="S3" s="265"/>
      <c r="T3" s="265"/>
      <c r="U3" s="265"/>
      <c r="V3" s="265"/>
      <c r="W3" s="265"/>
    </row>
    <row r="4" spans="1:26" ht="15.75" customHeight="1">
      <c r="A4" s="292" t="s">
        <v>2432</v>
      </c>
      <c r="B4" s="211" t="s">
        <v>2433</v>
      </c>
      <c r="C4" s="212">
        <v>2021</v>
      </c>
      <c r="D4" s="293" t="s">
        <v>2434</v>
      </c>
      <c r="E4" s="265"/>
      <c r="F4" s="265"/>
      <c r="G4" s="265"/>
      <c r="H4" s="265"/>
      <c r="I4" s="265"/>
      <c r="J4" s="293" t="s">
        <v>2435</v>
      </c>
      <c r="K4" s="265"/>
      <c r="L4" s="265"/>
      <c r="M4" s="265"/>
      <c r="N4" s="265"/>
      <c r="O4" s="265"/>
      <c r="P4" s="265"/>
      <c r="Q4" s="293" t="s">
        <v>932</v>
      </c>
      <c r="R4" s="293" t="s">
        <v>2429</v>
      </c>
      <c r="S4" s="293" t="s">
        <v>2430</v>
      </c>
      <c r="T4" s="293" t="s">
        <v>2429</v>
      </c>
      <c r="U4" s="293" t="s">
        <v>2429</v>
      </c>
      <c r="V4" s="293" t="s">
        <v>2429</v>
      </c>
      <c r="W4" s="293" t="s">
        <v>2436</v>
      </c>
    </row>
    <row r="5" spans="1:26" ht="15.75" customHeight="1">
      <c r="A5" s="251"/>
      <c r="D5" s="265"/>
      <c r="E5" s="265"/>
      <c r="F5" s="265"/>
      <c r="G5" s="265"/>
      <c r="H5" s="265"/>
      <c r="I5" s="265"/>
      <c r="J5" s="265"/>
      <c r="K5" s="265"/>
      <c r="L5" s="265"/>
      <c r="M5" s="265"/>
      <c r="N5" s="265"/>
      <c r="O5" s="265"/>
      <c r="P5" s="265"/>
      <c r="Q5" s="265"/>
      <c r="R5" s="265"/>
      <c r="S5" s="265"/>
      <c r="T5" s="265"/>
      <c r="U5" s="265"/>
      <c r="V5" s="265"/>
      <c r="W5" s="265"/>
    </row>
    <row r="6" spans="1:26" ht="15.75" customHeight="1">
      <c r="A6" s="292" t="s">
        <v>2437</v>
      </c>
      <c r="B6" s="13" t="s">
        <v>2438</v>
      </c>
      <c r="C6" s="212">
        <v>2016</v>
      </c>
      <c r="D6" s="293" t="s">
        <v>2439</v>
      </c>
      <c r="E6" s="265"/>
      <c r="F6" s="265"/>
      <c r="G6" s="265"/>
      <c r="H6" s="265"/>
      <c r="I6" s="265"/>
      <c r="J6" s="293" t="s">
        <v>2435</v>
      </c>
      <c r="K6" s="265"/>
      <c r="L6" s="265"/>
      <c r="M6" s="265"/>
      <c r="N6" s="265"/>
      <c r="O6" s="265"/>
      <c r="P6" s="265"/>
      <c r="Q6" s="293" t="s">
        <v>932</v>
      </c>
      <c r="R6" s="293" t="s">
        <v>2429</v>
      </c>
      <c r="S6" s="294" t="s">
        <v>2430</v>
      </c>
      <c r="T6" s="294" t="s">
        <v>2429</v>
      </c>
      <c r="U6" s="293" t="s">
        <v>2429</v>
      </c>
      <c r="V6" s="293" t="s">
        <v>2429</v>
      </c>
      <c r="W6" s="293" t="s">
        <v>702</v>
      </c>
    </row>
    <row r="7" spans="1:26" ht="15.75" customHeight="1">
      <c r="A7" s="251"/>
      <c r="D7" s="265"/>
      <c r="E7" s="265"/>
      <c r="F7" s="265"/>
      <c r="G7" s="265"/>
      <c r="H7" s="265"/>
      <c r="I7" s="265"/>
      <c r="J7" s="265"/>
      <c r="K7" s="265"/>
      <c r="L7" s="265"/>
      <c r="M7" s="265"/>
      <c r="N7" s="265"/>
      <c r="O7" s="265"/>
      <c r="P7" s="265"/>
      <c r="Q7" s="265"/>
      <c r="R7" s="265"/>
      <c r="S7" s="265"/>
      <c r="T7" s="265"/>
      <c r="U7" s="265"/>
      <c r="V7" s="265"/>
      <c r="W7" s="265"/>
    </row>
    <row r="8" spans="1:26" ht="15.75" customHeight="1">
      <c r="A8" s="292" t="s">
        <v>2440</v>
      </c>
      <c r="B8" s="211" t="s">
        <v>2441</v>
      </c>
      <c r="C8" s="212">
        <v>2021</v>
      </c>
      <c r="D8" s="293" t="s">
        <v>2442</v>
      </c>
      <c r="E8" s="265"/>
      <c r="F8" s="265"/>
      <c r="G8" s="265"/>
      <c r="H8" s="265"/>
      <c r="I8" s="265"/>
      <c r="J8" s="293" t="s">
        <v>2443</v>
      </c>
      <c r="K8" s="265"/>
      <c r="L8" s="265"/>
      <c r="M8" s="265"/>
      <c r="N8" s="265"/>
      <c r="O8" s="265"/>
      <c r="P8" s="265"/>
      <c r="Q8" s="293" t="s">
        <v>932</v>
      </c>
      <c r="R8" s="293" t="s">
        <v>2429</v>
      </c>
      <c r="S8" s="293" t="s">
        <v>2444</v>
      </c>
      <c r="T8" s="293" t="s">
        <v>2429</v>
      </c>
      <c r="U8" s="293" t="s">
        <v>2429</v>
      </c>
      <c r="V8" s="293" t="s">
        <v>2429</v>
      </c>
      <c r="W8" s="293" t="s">
        <v>2445</v>
      </c>
    </row>
    <row r="9" spans="1:26" ht="15.75" customHeight="1">
      <c r="A9" s="251"/>
      <c r="D9" s="265"/>
      <c r="E9" s="265"/>
      <c r="F9" s="265"/>
      <c r="G9" s="265"/>
      <c r="H9" s="265"/>
      <c r="I9" s="265"/>
      <c r="J9" s="265"/>
      <c r="K9" s="265"/>
      <c r="L9" s="265"/>
      <c r="M9" s="265"/>
      <c r="N9" s="265"/>
      <c r="O9" s="265"/>
      <c r="P9" s="265"/>
      <c r="Q9" s="265"/>
      <c r="R9" s="265"/>
      <c r="S9" s="265"/>
      <c r="T9" s="265"/>
      <c r="U9" s="265"/>
      <c r="V9" s="265"/>
      <c r="W9" s="265"/>
    </row>
    <row r="10" spans="1:26" ht="15.75" customHeight="1">
      <c r="A10" s="292" t="s">
        <v>448</v>
      </c>
      <c r="B10" s="211" t="s">
        <v>2446</v>
      </c>
      <c r="C10" s="212">
        <v>2017</v>
      </c>
      <c r="D10" s="293" t="s">
        <v>2442</v>
      </c>
      <c r="E10" s="265"/>
      <c r="F10" s="265"/>
      <c r="G10" s="265"/>
      <c r="H10" s="265"/>
      <c r="I10" s="265"/>
      <c r="J10" s="293" t="s">
        <v>2435</v>
      </c>
      <c r="K10" s="265"/>
      <c r="L10" s="265"/>
      <c r="M10" s="265"/>
      <c r="N10" s="265"/>
      <c r="O10" s="265"/>
      <c r="P10" s="265"/>
      <c r="Q10" s="293" t="s">
        <v>702</v>
      </c>
      <c r="R10" s="293" t="s">
        <v>2429</v>
      </c>
      <c r="S10" s="293" t="s">
        <v>2447</v>
      </c>
      <c r="T10" s="293" t="s">
        <v>2429</v>
      </c>
      <c r="U10" s="293" t="s">
        <v>2429</v>
      </c>
      <c r="V10" s="293" t="s">
        <v>2429</v>
      </c>
      <c r="W10" s="293" t="s">
        <v>2448</v>
      </c>
    </row>
    <row r="11" spans="1:26" ht="15.75" customHeight="1">
      <c r="A11" s="251"/>
      <c r="D11" s="265"/>
      <c r="E11" s="265"/>
      <c r="F11" s="265"/>
      <c r="G11" s="265"/>
      <c r="H11" s="265"/>
      <c r="I11" s="265"/>
      <c r="J11" s="265"/>
      <c r="K11" s="265"/>
      <c r="L11" s="265"/>
      <c r="M11" s="265"/>
      <c r="N11" s="265"/>
      <c r="O11" s="265"/>
      <c r="P11" s="265"/>
      <c r="Q11" s="265"/>
      <c r="R11" s="265"/>
      <c r="S11" s="265"/>
      <c r="T11" s="265"/>
      <c r="U11" s="265"/>
      <c r="V11" s="265"/>
      <c r="W11" s="265"/>
    </row>
    <row r="12" spans="1:26" ht="15.75" customHeight="1">
      <c r="A12" s="292" t="s">
        <v>2449</v>
      </c>
      <c r="B12" s="211" t="s">
        <v>2450</v>
      </c>
      <c r="C12" s="212">
        <v>2018</v>
      </c>
      <c r="D12" s="293" t="s">
        <v>2451</v>
      </c>
      <c r="E12" s="265"/>
      <c r="F12" s="265"/>
      <c r="G12" s="265"/>
      <c r="H12" s="265"/>
      <c r="I12" s="265"/>
      <c r="J12" s="293" t="s">
        <v>2435</v>
      </c>
      <c r="K12" s="265"/>
      <c r="L12" s="265"/>
      <c r="M12" s="265"/>
      <c r="N12" s="265"/>
      <c r="O12" s="265"/>
      <c r="P12" s="265"/>
      <c r="Q12" s="293" t="s">
        <v>702</v>
      </c>
      <c r="R12" s="293" t="s">
        <v>2429</v>
      </c>
      <c r="S12" s="293" t="s">
        <v>2447</v>
      </c>
      <c r="T12" s="293" t="s">
        <v>2429</v>
      </c>
      <c r="U12" s="293" t="s">
        <v>2429</v>
      </c>
      <c r="V12" s="293" t="s">
        <v>2429</v>
      </c>
      <c r="W12" s="293" t="s">
        <v>2452</v>
      </c>
    </row>
    <row r="13" spans="1:26" ht="15.75" customHeight="1">
      <c r="A13" s="251"/>
      <c r="D13" s="265"/>
      <c r="E13" s="265"/>
      <c r="F13" s="265"/>
      <c r="G13" s="265"/>
      <c r="H13" s="265"/>
      <c r="I13" s="265"/>
      <c r="J13" s="265"/>
      <c r="K13" s="265"/>
      <c r="L13" s="265"/>
      <c r="M13" s="265"/>
      <c r="N13" s="265"/>
      <c r="O13" s="265"/>
      <c r="P13" s="265"/>
      <c r="Q13" s="265"/>
      <c r="R13" s="265"/>
      <c r="S13" s="265"/>
      <c r="T13" s="265"/>
      <c r="U13" s="265"/>
      <c r="V13" s="265"/>
      <c r="W13" s="265"/>
    </row>
    <row r="14" spans="1:26" ht="15.75" customHeight="1">
      <c r="A14" s="292" t="s">
        <v>2453</v>
      </c>
      <c r="B14" s="211" t="s">
        <v>2454</v>
      </c>
      <c r="C14" s="212">
        <v>2021</v>
      </c>
      <c r="D14" s="293" t="s">
        <v>2455</v>
      </c>
      <c r="E14" s="265"/>
      <c r="F14" s="265"/>
      <c r="G14" s="265"/>
      <c r="H14" s="265"/>
      <c r="I14" s="265"/>
      <c r="J14" s="293" t="s">
        <v>2456</v>
      </c>
      <c r="K14" s="265"/>
      <c r="L14" s="265"/>
      <c r="M14" s="265"/>
      <c r="N14" s="265"/>
      <c r="O14" s="265"/>
      <c r="P14" s="265"/>
      <c r="Q14" s="293" t="s">
        <v>932</v>
      </c>
      <c r="R14" s="293" t="s">
        <v>2429</v>
      </c>
      <c r="S14" s="293" t="s">
        <v>2430</v>
      </c>
      <c r="T14" s="293" t="s">
        <v>2429</v>
      </c>
      <c r="U14" s="293" t="s">
        <v>2429</v>
      </c>
      <c r="V14" s="293" t="s">
        <v>2429</v>
      </c>
      <c r="W14" s="293" t="s">
        <v>702</v>
      </c>
    </row>
    <row r="15" spans="1:26" ht="15.75" customHeight="1">
      <c r="A15" s="251"/>
      <c r="D15" s="265"/>
      <c r="E15" s="265"/>
      <c r="F15" s="265"/>
      <c r="G15" s="265"/>
      <c r="H15" s="265"/>
      <c r="I15" s="265"/>
      <c r="J15" s="265"/>
      <c r="K15" s="265"/>
      <c r="L15" s="265"/>
      <c r="M15" s="265"/>
      <c r="N15" s="265"/>
      <c r="O15" s="265"/>
      <c r="P15" s="265"/>
      <c r="Q15" s="265"/>
      <c r="R15" s="265"/>
      <c r="S15" s="265"/>
      <c r="T15" s="265"/>
      <c r="U15" s="265"/>
      <c r="V15" s="265"/>
      <c r="W15" s="265"/>
    </row>
    <row r="16" spans="1:26" ht="15.75" customHeight="1">
      <c r="A16" s="292" t="s">
        <v>2457</v>
      </c>
      <c r="B16" s="211" t="s">
        <v>2458</v>
      </c>
      <c r="C16" s="212">
        <v>2021</v>
      </c>
      <c r="D16" s="293" t="s">
        <v>2459</v>
      </c>
      <c r="E16" s="265"/>
      <c r="F16" s="265"/>
      <c r="G16" s="265"/>
      <c r="H16" s="265"/>
      <c r="I16" s="265"/>
      <c r="J16" s="293" t="s">
        <v>2460</v>
      </c>
      <c r="K16" s="265"/>
      <c r="L16" s="265"/>
      <c r="M16" s="265"/>
      <c r="N16" s="265"/>
      <c r="O16" s="265"/>
      <c r="P16" s="265"/>
      <c r="Q16" s="293" t="s">
        <v>702</v>
      </c>
      <c r="R16" s="293" t="s">
        <v>2461</v>
      </c>
      <c r="S16" s="294" t="s">
        <v>2429</v>
      </c>
      <c r="T16" s="293" t="s">
        <v>2429</v>
      </c>
      <c r="U16" s="294" t="s">
        <v>2429</v>
      </c>
      <c r="V16" s="293" t="s">
        <v>2429</v>
      </c>
      <c r="W16" s="293" t="s">
        <v>2462</v>
      </c>
    </row>
    <row r="17" spans="1:23" ht="15.75" customHeight="1">
      <c r="A17" s="251"/>
      <c r="D17" s="265"/>
      <c r="E17" s="265"/>
      <c r="F17" s="265"/>
      <c r="G17" s="265"/>
      <c r="H17" s="265"/>
      <c r="I17" s="265"/>
      <c r="J17" s="265"/>
      <c r="K17" s="265"/>
      <c r="L17" s="265"/>
      <c r="M17" s="265"/>
      <c r="N17" s="265"/>
      <c r="O17" s="265"/>
      <c r="P17" s="265"/>
      <c r="Q17" s="265"/>
      <c r="R17" s="265"/>
      <c r="S17" s="265"/>
      <c r="T17" s="265"/>
      <c r="U17" s="265"/>
      <c r="V17" s="265"/>
      <c r="W17" s="265"/>
    </row>
    <row r="18" spans="1:23" ht="15.75" customHeight="1">
      <c r="A18" s="292" t="s">
        <v>2463</v>
      </c>
      <c r="B18" s="211" t="s">
        <v>2464</v>
      </c>
      <c r="C18" s="212">
        <v>2016</v>
      </c>
      <c r="D18" s="293" t="s">
        <v>2465</v>
      </c>
      <c r="E18" s="265"/>
      <c r="F18" s="265"/>
      <c r="G18" s="265"/>
      <c r="H18" s="265"/>
      <c r="I18" s="265"/>
      <c r="J18" s="293" t="s">
        <v>2435</v>
      </c>
      <c r="K18" s="265"/>
      <c r="L18" s="265"/>
      <c r="M18" s="265"/>
      <c r="N18" s="265"/>
      <c r="O18" s="265"/>
      <c r="P18" s="265"/>
      <c r="Q18" s="293" t="s">
        <v>702</v>
      </c>
      <c r="R18" s="293" t="s">
        <v>2429</v>
      </c>
      <c r="S18" s="293" t="s">
        <v>2447</v>
      </c>
      <c r="T18" s="293" t="s">
        <v>2429</v>
      </c>
      <c r="U18" s="294" t="s">
        <v>2429</v>
      </c>
      <c r="V18" s="293" t="s">
        <v>2429</v>
      </c>
      <c r="W18" s="293" t="s">
        <v>2466</v>
      </c>
    </row>
    <row r="19" spans="1:23" ht="15.75" customHeight="1">
      <c r="A19" s="251"/>
      <c r="D19" s="265"/>
      <c r="E19" s="265"/>
      <c r="F19" s="265"/>
      <c r="G19" s="265"/>
      <c r="H19" s="265"/>
      <c r="I19" s="265"/>
      <c r="J19" s="265"/>
      <c r="K19" s="265"/>
      <c r="L19" s="265"/>
      <c r="M19" s="265"/>
      <c r="N19" s="265"/>
      <c r="O19" s="265"/>
      <c r="P19" s="265"/>
      <c r="Q19" s="265"/>
      <c r="R19" s="265"/>
      <c r="S19" s="265"/>
      <c r="T19" s="265"/>
      <c r="U19" s="265"/>
      <c r="V19" s="265"/>
      <c r="W19" s="265"/>
    </row>
    <row r="20" spans="1:23" ht="15.75" customHeight="1">
      <c r="A20" s="292" t="s">
        <v>2467</v>
      </c>
      <c r="B20" s="211" t="s">
        <v>2468</v>
      </c>
      <c r="C20" s="213">
        <v>2015</v>
      </c>
      <c r="D20" s="294" t="s">
        <v>2469</v>
      </c>
      <c r="E20" s="265"/>
      <c r="F20" s="265"/>
      <c r="G20" s="265"/>
      <c r="H20" s="265"/>
      <c r="I20" s="265"/>
      <c r="J20" s="293" t="s">
        <v>2435</v>
      </c>
      <c r="K20" s="265"/>
      <c r="L20" s="265"/>
      <c r="M20" s="265"/>
      <c r="N20" s="265"/>
      <c r="O20" s="265"/>
      <c r="P20" s="265"/>
      <c r="Q20" s="294" t="s">
        <v>932</v>
      </c>
      <c r="R20" s="293" t="s">
        <v>2429</v>
      </c>
      <c r="S20" s="294" t="s">
        <v>2444</v>
      </c>
      <c r="T20" s="293" t="s">
        <v>2429</v>
      </c>
      <c r="U20" s="293" t="s">
        <v>2429</v>
      </c>
      <c r="V20" s="293" t="s">
        <v>2429</v>
      </c>
      <c r="W20" s="293" t="s">
        <v>2470</v>
      </c>
    </row>
    <row r="21" spans="1:23" ht="15.75" customHeight="1">
      <c r="A21" s="251"/>
      <c r="D21" s="265"/>
      <c r="E21" s="265"/>
      <c r="F21" s="265"/>
      <c r="G21" s="265"/>
      <c r="H21" s="265"/>
      <c r="I21" s="265"/>
      <c r="J21" s="265"/>
      <c r="K21" s="265"/>
      <c r="L21" s="265"/>
      <c r="M21" s="265"/>
      <c r="N21" s="265"/>
      <c r="O21" s="265"/>
      <c r="P21" s="265"/>
      <c r="Q21" s="265"/>
      <c r="R21" s="265"/>
      <c r="S21" s="265"/>
      <c r="T21" s="265"/>
      <c r="U21" s="265"/>
      <c r="V21" s="265"/>
      <c r="W21" s="265"/>
    </row>
    <row r="22" spans="1:23" ht="15.75" customHeight="1"/>
    <row r="23" spans="1:23" ht="15.75" customHeight="1"/>
    <row r="24" spans="1:23" ht="15.75" customHeight="1"/>
    <row r="25" spans="1:23" ht="15.75" customHeight="1"/>
    <row r="26" spans="1:23" ht="15.75" customHeight="1"/>
    <row r="27" spans="1:23" ht="15.75" customHeight="1"/>
    <row r="28" spans="1:23" ht="15.75" customHeight="1"/>
    <row r="29" spans="1:23" ht="15.75" customHeight="1"/>
    <row r="30" spans="1:23" ht="15.75" customHeight="1"/>
    <row r="31" spans="1:23" ht="15.75" customHeight="1"/>
    <row r="32" spans="1: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V8:V9"/>
    <mergeCell ref="W8:W9"/>
    <mergeCell ref="J6:P7"/>
    <mergeCell ref="J8:P9"/>
    <mergeCell ref="Q8:Q9"/>
    <mergeCell ref="R8:R9"/>
    <mergeCell ref="S8:S9"/>
    <mergeCell ref="T8:T9"/>
    <mergeCell ref="U8:U9"/>
    <mergeCell ref="S4:S5"/>
    <mergeCell ref="T4:T5"/>
    <mergeCell ref="U4:U5"/>
    <mergeCell ref="V4:V5"/>
    <mergeCell ref="W4:W5"/>
    <mergeCell ref="Q6:Q7"/>
    <mergeCell ref="R6:R7"/>
    <mergeCell ref="S6:S7"/>
    <mergeCell ref="T6:T7"/>
    <mergeCell ref="U6:U7"/>
    <mergeCell ref="V6:V7"/>
    <mergeCell ref="W6:W7"/>
    <mergeCell ref="S2:S3"/>
    <mergeCell ref="T2:T3"/>
    <mergeCell ref="U2:U3"/>
    <mergeCell ref="V2:V3"/>
    <mergeCell ref="W2:W3"/>
    <mergeCell ref="C1:I1"/>
    <mergeCell ref="J1:P1"/>
    <mergeCell ref="A2:A3"/>
    <mergeCell ref="J2:P3"/>
    <mergeCell ref="Q2:Q3"/>
    <mergeCell ref="R2:R3"/>
    <mergeCell ref="D2:I3"/>
    <mergeCell ref="V18:V19"/>
    <mergeCell ref="W18:W19"/>
    <mergeCell ref="V20:V21"/>
    <mergeCell ref="W20:W21"/>
    <mergeCell ref="J18:P19"/>
    <mergeCell ref="J20:P21"/>
    <mergeCell ref="Q20:Q21"/>
    <mergeCell ref="R20:R21"/>
    <mergeCell ref="S20:S21"/>
    <mergeCell ref="T20:T21"/>
    <mergeCell ref="U20:U21"/>
    <mergeCell ref="Q18:Q19"/>
    <mergeCell ref="R18:R19"/>
    <mergeCell ref="S18:S19"/>
    <mergeCell ref="T18:T19"/>
    <mergeCell ref="U18:U19"/>
    <mergeCell ref="Q14:Q15"/>
    <mergeCell ref="R14:R15"/>
    <mergeCell ref="S14:S15"/>
    <mergeCell ref="T14:T15"/>
    <mergeCell ref="U14:U15"/>
    <mergeCell ref="V16:V17"/>
    <mergeCell ref="W16:W17"/>
    <mergeCell ref="S10:S11"/>
    <mergeCell ref="T10:T11"/>
    <mergeCell ref="U10:U11"/>
    <mergeCell ref="V10:V11"/>
    <mergeCell ref="W10:W11"/>
    <mergeCell ref="J14:P15"/>
    <mergeCell ref="J16:P17"/>
    <mergeCell ref="Q16:Q17"/>
    <mergeCell ref="R16:R17"/>
    <mergeCell ref="S16:S17"/>
    <mergeCell ref="T16:T17"/>
    <mergeCell ref="U16:U17"/>
    <mergeCell ref="J12:P13"/>
    <mergeCell ref="Q12:Q13"/>
    <mergeCell ref="R12:R13"/>
    <mergeCell ref="S12:S13"/>
    <mergeCell ref="T12:T13"/>
    <mergeCell ref="U12:U13"/>
    <mergeCell ref="V12:V13"/>
    <mergeCell ref="W12:W13"/>
    <mergeCell ref="V14:V15"/>
    <mergeCell ref="W14:W15"/>
    <mergeCell ref="D4:I5"/>
    <mergeCell ref="A6:A7"/>
    <mergeCell ref="D6:I7"/>
    <mergeCell ref="A8:A9"/>
    <mergeCell ref="D8:I9"/>
    <mergeCell ref="D10:I11"/>
    <mergeCell ref="Q10:Q11"/>
    <mergeCell ref="R10:R11"/>
    <mergeCell ref="A4:A5"/>
    <mergeCell ref="R4:R5"/>
    <mergeCell ref="J4:P5"/>
    <mergeCell ref="Q4:Q5"/>
    <mergeCell ref="A10:A11"/>
    <mergeCell ref="J10:P11"/>
    <mergeCell ref="A12:A13"/>
    <mergeCell ref="A14:A15"/>
    <mergeCell ref="A16:A17"/>
    <mergeCell ref="A18:A19"/>
    <mergeCell ref="A20:A21"/>
    <mergeCell ref="D12:I13"/>
    <mergeCell ref="D14:I15"/>
    <mergeCell ref="D16:I17"/>
    <mergeCell ref="D18:I19"/>
    <mergeCell ref="D20:I2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workbookViewId="0"/>
  </sheetViews>
  <sheetFormatPr baseColWidth="10" defaultColWidth="11.1640625" defaultRowHeight="15" customHeight="1"/>
  <cols>
    <col min="1" max="7" width="8.5" customWidth="1"/>
    <col min="8" max="8" width="22" customWidth="1"/>
    <col min="9" max="9" width="42.6640625" customWidth="1"/>
    <col min="10" max="10" width="18.5" customWidth="1"/>
    <col min="11" max="11" width="19.1640625" customWidth="1"/>
    <col min="12" max="12" width="14.6640625" customWidth="1"/>
    <col min="13" max="26" width="8.5" customWidth="1"/>
  </cols>
  <sheetData>
    <row r="1" spans="1:12" ht="15.75" customHeight="1">
      <c r="A1" s="208"/>
      <c r="B1" s="208"/>
      <c r="C1" s="296" t="s">
        <v>2471</v>
      </c>
      <c r="D1" s="260"/>
      <c r="E1" s="260"/>
      <c r="F1" s="260"/>
      <c r="G1" s="260"/>
      <c r="H1" s="260"/>
      <c r="I1" s="260"/>
      <c r="J1" s="210" t="s">
        <v>2472</v>
      </c>
      <c r="K1" s="210" t="s">
        <v>2473</v>
      </c>
      <c r="L1" s="210" t="s">
        <v>2474</v>
      </c>
    </row>
    <row r="2" spans="1:12" ht="15.75" customHeight="1">
      <c r="A2" s="293" t="s">
        <v>2423</v>
      </c>
      <c r="B2" s="214" t="s">
        <v>2424</v>
      </c>
      <c r="C2" s="214">
        <v>2019</v>
      </c>
      <c r="D2" s="293" t="s">
        <v>2475</v>
      </c>
      <c r="E2" s="265"/>
      <c r="F2" s="265"/>
      <c r="G2" s="265"/>
      <c r="H2" s="265"/>
      <c r="I2" s="265"/>
      <c r="J2" s="293" t="s">
        <v>2476</v>
      </c>
      <c r="K2" s="293" t="s">
        <v>2429</v>
      </c>
      <c r="L2" s="293" t="s">
        <v>2477</v>
      </c>
    </row>
    <row r="3" spans="1:12" ht="15.75" customHeight="1">
      <c r="A3" s="265"/>
      <c r="D3" s="265"/>
      <c r="E3" s="265"/>
      <c r="F3" s="265"/>
      <c r="G3" s="265"/>
      <c r="H3" s="265"/>
      <c r="I3" s="265"/>
      <c r="J3" s="265"/>
      <c r="K3" s="265"/>
      <c r="L3" s="265"/>
    </row>
    <row r="4" spans="1:12" ht="15.75" customHeight="1">
      <c r="A4" s="293" t="s">
        <v>2432</v>
      </c>
      <c r="B4" s="212" t="s">
        <v>2433</v>
      </c>
      <c r="C4" s="212">
        <v>2021</v>
      </c>
      <c r="D4" s="282" t="s">
        <v>2478</v>
      </c>
      <c r="E4" s="265"/>
      <c r="F4" s="265"/>
      <c r="G4" s="265"/>
      <c r="H4" s="265"/>
      <c r="I4" s="265"/>
      <c r="J4" s="293" t="s">
        <v>2479</v>
      </c>
      <c r="K4" s="294" t="s">
        <v>2480</v>
      </c>
      <c r="L4" s="293" t="s">
        <v>2481</v>
      </c>
    </row>
    <row r="5" spans="1:12" ht="15.75" customHeight="1">
      <c r="A5" s="265"/>
      <c r="D5" s="265"/>
      <c r="E5" s="265"/>
      <c r="F5" s="265"/>
      <c r="G5" s="265"/>
      <c r="H5" s="265"/>
      <c r="I5" s="265"/>
      <c r="J5" s="265"/>
      <c r="K5" s="265"/>
      <c r="L5" s="265"/>
    </row>
    <row r="6" spans="1:12" ht="15.75" customHeight="1">
      <c r="A6" s="293" t="s">
        <v>2437</v>
      </c>
      <c r="B6" s="13" t="s">
        <v>2438</v>
      </c>
      <c r="C6" s="212">
        <v>2016</v>
      </c>
      <c r="D6" s="293" t="s">
        <v>2482</v>
      </c>
      <c r="E6" s="265"/>
      <c r="F6" s="265"/>
      <c r="G6" s="265"/>
      <c r="H6" s="265"/>
      <c r="I6" s="265"/>
      <c r="J6" s="293" t="s">
        <v>2483</v>
      </c>
      <c r="K6" s="293" t="s">
        <v>2430</v>
      </c>
      <c r="L6" s="293" t="s">
        <v>2484</v>
      </c>
    </row>
    <row r="7" spans="1:12" ht="15.75" customHeight="1">
      <c r="A7" s="265"/>
      <c r="D7" s="265"/>
      <c r="E7" s="265"/>
      <c r="F7" s="265"/>
      <c r="G7" s="265"/>
      <c r="H7" s="265"/>
      <c r="I7" s="265"/>
      <c r="J7" s="265"/>
      <c r="K7" s="265"/>
      <c r="L7" s="265"/>
    </row>
    <row r="8" spans="1:12" ht="15.75" customHeight="1">
      <c r="A8" s="293" t="s">
        <v>2440</v>
      </c>
      <c r="B8" s="212" t="s">
        <v>2441</v>
      </c>
      <c r="C8" s="212">
        <v>2021</v>
      </c>
      <c r="D8" s="282" t="s">
        <v>2485</v>
      </c>
      <c r="E8" s="265"/>
      <c r="F8" s="265"/>
      <c r="G8" s="265"/>
      <c r="H8" s="265"/>
      <c r="I8" s="265"/>
      <c r="J8" s="293" t="s">
        <v>2483</v>
      </c>
      <c r="K8" s="293" t="s">
        <v>2430</v>
      </c>
      <c r="L8" s="293" t="s">
        <v>2484</v>
      </c>
    </row>
    <row r="9" spans="1:12" ht="15.75" customHeight="1">
      <c r="A9" s="265"/>
      <c r="D9" s="265"/>
      <c r="E9" s="265"/>
      <c r="F9" s="265"/>
      <c r="G9" s="265"/>
      <c r="H9" s="265"/>
      <c r="I9" s="265"/>
      <c r="J9" s="265"/>
      <c r="K9" s="265"/>
      <c r="L9" s="265"/>
    </row>
    <row r="10" spans="1:12" ht="15.75" customHeight="1">
      <c r="A10" s="293" t="s">
        <v>448</v>
      </c>
      <c r="B10" s="212" t="s">
        <v>2446</v>
      </c>
      <c r="C10" s="212">
        <v>2017</v>
      </c>
      <c r="D10" s="294" t="s">
        <v>2486</v>
      </c>
      <c r="E10" s="265"/>
      <c r="F10" s="265"/>
      <c r="G10" s="265"/>
      <c r="H10" s="265"/>
      <c r="I10" s="265"/>
      <c r="J10" s="293" t="s">
        <v>2487</v>
      </c>
      <c r="K10" s="293" t="s">
        <v>2488</v>
      </c>
      <c r="L10" s="293" t="s">
        <v>2489</v>
      </c>
    </row>
    <row r="11" spans="1:12" ht="15.75" customHeight="1">
      <c r="A11" s="265"/>
      <c r="D11" s="265"/>
      <c r="E11" s="265"/>
      <c r="F11" s="265"/>
      <c r="G11" s="265"/>
      <c r="H11" s="265"/>
      <c r="I11" s="265"/>
      <c r="J11" s="265"/>
      <c r="K11" s="265"/>
      <c r="L11" s="265"/>
    </row>
    <row r="12" spans="1:12" ht="15.75" customHeight="1">
      <c r="A12" s="293" t="s">
        <v>2449</v>
      </c>
      <c r="B12" s="212" t="s">
        <v>2450</v>
      </c>
      <c r="C12" s="212">
        <v>2018</v>
      </c>
      <c r="D12" s="293" t="s">
        <v>2490</v>
      </c>
      <c r="E12" s="265"/>
      <c r="F12" s="265"/>
      <c r="G12" s="265"/>
      <c r="H12" s="265"/>
      <c r="I12" s="265"/>
      <c r="J12" s="293" t="s">
        <v>2487</v>
      </c>
      <c r="K12" s="293" t="s">
        <v>2488</v>
      </c>
      <c r="L12" s="293" t="s">
        <v>2489</v>
      </c>
    </row>
    <row r="13" spans="1:12" ht="15.75" customHeight="1">
      <c r="A13" s="265"/>
      <c r="D13" s="265"/>
      <c r="E13" s="265"/>
      <c r="F13" s="265"/>
      <c r="G13" s="265"/>
      <c r="H13" s="265"/>
      <c r="I13" s="265"/>
      <c r="J13" s="265"/>
      <c r="K13" s="265"/>
      <c r="L13" s="265"/>
    </row>
    <row r="14" spans="1:12" ht="15.75" customHeight="1">
      <c r="A14" s="293" t="s">
        <v>2453</v>
      </c>
      <c r="B14" s="212" t="s">
        <v>2454</v>
      </c>
      <c r="C14" s="212">
        <v>2021</v>
      </c>
      <c r="D14" s="293" t="s">
        <v>2491</v>
      </c>
      <c r="E14" s="265"/>
      <c r="F14" s="265"/>
      <c r="G14" s="265"/>
      <c r="H14" s="265"/>
      <c r="I14" s="265"/>
      <c r="J14" s="293" t="s">
        <v>2487</v>
      </c>
      <c r="K14" s="293" t="s">
        <v>2488</v>
      </c>
      <c r="L14" s="293" t="s">
        <v>2489</v>
      </c>
    </row>
    <row r="15" spans="1:12" ht="15.75" customHeight="1">
      <c r="A15" s="265"/>
      <c r="D15" s="265"/>
      <c r="E15" s="265"/>
      <c r="F15" s="265"/>
      <c r="G15" s="265"/>
      <c r="H15" s="265"/>
      <c r="I15" s="265"/>
      <c r="J15" s="265"/>
      <c r="K15" s="265"/>
      <c r="L15" s="265"/>
    </row>
    <row r="16" spans="1:12" ht="15.75" customHeight="1">
      <c r="A16" s="293" t="s">
        <v>2457</v>
      </c>
      <c r="B16" s="212" t="s">
        <v>2458</v>
      </c>
      <c r="C16" s="212">
        <v>2021</v>
      </c>
      <c r="D16" s="293" t="s">
        <v>2492</v>
      </c>
      <c r="E16" s="265"/>
      <c r="F16" s="265"/>
      <c r="G16" s="265"/>
      <c r="H16" s="265"/>
      <c r="I16" s="265"/>
      <c r="J16" s="293" t="s">
        <v>2479</v>
      </c>
      <c r="K16" s="293" t="s">
        <v>2480</v>
      </c>
      <c r="L16" s="293" t="s">
        <v>2481</v>
      </c>
    </row>
    <row r="17" spans="1:12" ht="15.75" customHeight="1">
      <c r="A17" s="265"/>
      <c r="D17" s="265"/>
      <c r="E17" s="265"/>
      <c r="F17" s="265"/>
      <c r="G17" s="265"/>
      <c r="H17" s="265"/>
      <c r="I17" s="265"/>
      <c r="J17" s="265"/>
      <c r="K17" s="265"/>
      <c r="L17" s="265"/>
    </row>
    <row r="18" spans="1:12" ht="15.75" customHeight="1">
      <c r="A18" s="293" t="s">
        <v>2463</v>
      </c>
      <c r="B18" s="212" t="s">
        <v>2464</v>
      </c>
      <c r="C18" s="212">
        <v>2016</v>
      </c>
      <c r="D18" s="293" t="s">
        <v>2493</v>
      </c>
      <c r="E18" s="265"/>
      <c r="F18" s="265"/>
      <c r="G18" s="265"/>
      <c r="H18" s="265"/>
      <c r="I18" s="265"/>
      <c r="J18" s="293" t="s">
        <v>2483</v>
      </c>
      <c r="K18" s="293" t="s">
        <v>2430</v>
      </c>
      <c r="L18" s="293" t="s">
        <v>2484</v>
      </c>
    </row>
    <row r="19" spans="1:12" ht="15.75" customHeight="1">
      <c r="A19" s="265"/>
      <c r="D19" s="265"/>
      <c r="E19" s="265"/>
      <c r="F19" s="265"/>
      <c r="G19" s="265"/>
      <c r="H19" s="265"/>
      <c r="I19" s="265"/>
      <c r="J19" s="265"/>
      <c r="K19" s="265"/>
      <c r="L19" s="265"/>
    </row>
    <row r="20" spans="1:12" ht="15.75" customHeight="1">
      <c r="A20" s="293" t="s">
        <v>2467</v>
      </c>
      <c r="B20" s="212" t="s">
        <v>2468</v>
      </c>
      <c r="C20" s="213">
        <v>2015</v>
      </c>
      <c r="D20" s="297" t="s">
        <v>2494</v>
      </c>
      <c r="E20" s="265"/>
      <c r="F20" s="265"/>
      <c r="G20" s="265"/>
      <c r="H20" s="265"/>
      <c r="I20" s="265"/>
      <c r="J20" s="293" t="s">
        <v>2487</v>
      </c>
      <c r="K20" s="293" t="s">
        <v>2488</v>
      </c>
      <c r="L20" s="293" t="s">
        <v>2489</v>
      </c>
    </row>
    <row r="21" spans="1:12" ht="15.75" customHeight="1">
      <c r="A21" s="265"/>
      <c r="D21" s="265"/>
      <c r="E21" s="265"/>
      <c r="F21" s="265"/>
      <c r="G21" s="265"/>
      <c r="H21" s="265"/>
      <c r="I21" s="265"/>
      <c r="J21" s="265"/>
      <c r="K21" s="265"/>
      <c r="L21" s="265"/>
    </row>
    <row r="22" spans="1:12" ht="15.75" customHeight="1">
      <c r="D22" s="105"/>
    </row>
    <row r="23" spans="1:12" ht="15.75" customHeight="1">
      <c r="D23" s="215"/>
    </row>
    <row r="24" spans="1:12" ht="15.75" customHeight="1"/>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J20:J21"/>
    <mergeCell ref="K20:K21"/>
    <mergeCell ref="K16:K17"/>
    <mergeCell ref="L16:L17"/>
    <mergeCell ref="D18:I19"/>
    <mergeCell ref="J18:J19"/>
    <mergeCell ref="K18:K19"/>
    <mergeCell ref="L18:L19"/>
    <mergeCell ref="D20:I21"/>
    <mergeCell ref="L20:L21"/>
    <mergeCell ref="D16:I17"/>
    <mergeCell ref="J16:J17"/>
    <mergeCell ref="A12:A13"/>
    <mergeCell ref="A14:A15"/>
    <mergeCell ref="A16:A17"/>
    <mergeCell ref="A18:A19"/>
    <mergeCell ref="A20:A21"/>
    <mergeCell ref="A4:A5"/>
    <mergeCell ref="J8:J9"/>
    <mergeCell ref="K8:K9"/>
    <mergeCell ref="A8:A9"/>
    <mergeCell ref="A10:A11"/>
    <mergeCell ref="A6:A7"/>
    <mergeCell ref="D6:I7"/>
    <mergeCell ref="J6:J7"/>
    <mergeCell ref="K6:K7"/>
    <mergeCell ref="D4:I5"/>
    <mergeCell ref="J4:J5"/>
    <mergeCell ref="K4:K5"/>
    <mergeCell ref="D8:I9"/>
    <mergeCell ref="A2:A3"/>
    <mergeCell ref="D2:I3"/>
    <mergeCell ref="J2:J3"/>
    <mergeCell ref="K2:K3"/>
    <mergeCell ref="L2:L3"/>
    <mergeCell ref="L4:L5"/>
    <mergeCell ref="C1:I1"/>
    <mergeCell ref="D14:I15"/>
    <mergeCell ref="J14:J15"/>
    <mergeCell ref="K14:K15"/>
    <mergeCell ref="L14:L15"/>
    <mergeCell ref="D10:I11"/>
    <mergeCell ref="J10:J11"/>
    <mergeCell ref="K10:K11"/>
    <mergeCell ref="L10:L11"/>
    <mergeCell ref="J12:J13"/>
    <mergeCell ref="K12:K13"/>
    <mergeCell ref="L12:L13"/>
    <mergeCell ref="D12:I13"/>
    <mergeCell ref="L6:L7"/>
    <mergeCell ref="L8:L9"/>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sheetViews>
  <sheetFormatPr baseColWidth="10" defaultColWidth="11.1640625" defaultRowHeight="15" customHeight="1"/>
  <cols>
    <col min="1" max="1" width="14.6640625" customWidth="1"/>
    <col min="2" max="26" width="8.5" customWidth="1"/>
  </cols>
  <sheetData>
    <row r="1" spans="1:12" ht="15.75" customHeight="1">
      <c r="A1" s="216" t="s">
        <v>2495</v>
      </c>
      <c r="B1" s="216">
        <v>1</v>
      </c>
      <c r="C1" s="216">
        <v>2</v>
      </c>
      <c r="D1" s="216">
        <v>3</v>
      </c>
      <c r="E1" s="216">
        <v>4</v>
      </c>
      <c r="F1" s="216">
        <v>5</v>
      </c>
      <c r="G1" s="216">
        <v>6</v>
      </c>
      <c r="H1" s="216">
        <v>7</v>
      </c>
      <c r="I1" s="216">
        <v>8</v>
      </c>
      <c r="J1" s="216">
        <v>9</v>
      </c>
      <c r="K1" s="216">
        <v>10</v>
      </c>
    </row>
    <row r="2" spans="1:12" ht="15.75" customHeight="1">
      <c r="A2" s="217" t="s">
        <v>2496</v>
      </c>
      <c r="B2" s="212" t="s">
        <v>2424</v>
      </c>
      <c r="C2" s="212" t="s">
        <v>2433</v>
      </c>
      <c r="D2" s="13" t="s">
        <v>2438</v>
      </c>
      <c r="E2" s="212" t="s">
        <v>2441</v>
      </c>
      <c r="F2" s="212" t="s">
        <v>2446</v>
      </c>
      <c r="G2" s="212" t="s">
        <v>2450</v>
      </c>
      <c r="H2" s="212" t="s">
        <v>2454</v>
      </c>
      <c r="I2" s="212" t="s">
        <v>2458</v>
      </c>
      <c r="J2" s="212" t="s">
        <v>2464</v>
      </c>
      <c r="K2" s="212" t="s">
        <v>2468</v>
      </c>
    </row>
    <row r="3" spans="1:12" ht="15.75" customHeight="1">
      <c r="A3" s="212" t="s">
        <v>2497</v>
      </c>
      <c r="B3" s="212">
        <v>2019</v>
      </c>
      <c r="C3" s="212">
        <v>2021</v>
      </c>
      <c r="D3" s="212">
        <v>2016</v>
      </c>
      <c r="E3" s="212">
        <v>2021</v>
      </c>
      <c r="F3" s="212">
        <v>2017</v>
      </c>
      <c r="G3" s="212">
        <v>2018</v>
      </c>
      <c r="H3" s="212">
        <v>2021</v>
      </c>
      <c r="I3" s="212">
        <v>2021</v>
      </c>
      <c r="J3" s="212">
        <v>2016</v>
      </c>
      <c r="K3" s="213">
        <v>2015</v>
      </c>
      <c r="L3" s="212" t="s">
        <v>2498</v>
      </c>
    </row>
    <row r="4" spans="1:12" ht="15.75" customHeight="1">
      <c r="A4" s="3" t="s">
        <v>14</v>
      </c>
      <c r="B4" s="13">
        <v>1</v>
      </c>
      <c r="C4" s="13">
        <v>1</v>
      </c>
      <c r="H4" s="13">
        <v>1</v>
      </c>
      <c r="I4" s="13">
        <v>1</v>
      </c>
      <c r="L4" s="218">
        <f t="shared" ref="L4:L44" si="0">SUM(B4:K4)</f>
        <v>4</v>
      </c>
    </row>
    <row r="5" spans="1:12" ht="15.75" customHeight="1">
      <c r="A5" s="13" t="s">
        <v>72</v>
      </c>
      <c r="D5" s="13">
        <v>1</v>
      </c>
      <c r="L5" s="219">
        <f t="shared" si="0"/>
        <v>1</v>
      </c>
    </row>
    <row r="6" spans="1:12" ht="15.75" customHeight="1">
      <c r="A6" s="13" t="s">
        <v>76</v>
      </c>
      <c r="D6" s="13">
        <v>1</v>
      </c>
      <c r="L6" s="219">
        <f t="shared" si="0"/>
        <v>1</v>
      </c>
    </row>
    <row r="7" spans="1:12" ht="15.75" customHeight="1">
      <c r="A7" s="3" t="s">
        <v>253</v>
      </c>
      <c r="J7" s="13">
        <v>1</v>
      </c>
      <c r="L7" s="219">
        <f t="shared" si="0"/>
        <v>1</v>
      </c>
    </row>
    <row r="8" spans="1:12" ht="15.75" customHeight="1">
      <c r="A8" s="3" t="s">
        <v>21</v>
      </c>
      <c r="B8" s="13">
        <v>1</v>
      </c>
      <c r="D8" s="13">
        <v>1</v>
      </c>
      <c r="H8" s="13">
        <v>1</v>
      </c>
      <c r="J8" s="13">
        <v>1</v>
      </c>
      <c r="L8" s="218">
        <f t="shared" si="0"/>
        <v>4</v>
      </c>
    </row>
    <row r="9" spans="1:12" ht="15.75" customHeight="1">
      <c r="A9" s="13" t="s">
        <v>226</v>
      </c>
      <c r="H9" s="13">
        <v>1</v>
      </c>
      <c r="L9" s="219">
        <f t="shared" si="0"/>
        <v>1</v>
      </c>
    </row>
    <row r="10" spans="1:12" ht="15.75" customHeight="1">
      <c r="A10" s="3" t="s">
        <v>23</v>
      </c>
      <c r="B10" s="13">
        <v>1</v>
      </c>
      <c r="F10" s="13">
        <v>1</v>
      </c>
      <c r="H10" s="13">
        <v>1</v>
      </c>
      <c r="L10" s="219">
        <f t="shared" si="0"/>
        <v>3</v>
      </c>
    </row>
    <row r="11" spans="1:12" ht="15.75" customHeight="1">
      <c r="A11" s="3" t="s">
        <v>252</v>
      </c>
      <c r="J11" s="13">
        <v>1</v>
      </c>
      <c r="L11" s="219">
        <f t="shared" si="0"/>
        <v>1</v>
      </c>
    </row>
    <row r="12" spans="1:12" ht="15.75" customHeight="1">
      <c r="A12" s="3" t="s">
        <v>22</v>
      </c>
      <c r="B12" s="13">
        <v>1</v>
      </c>
      <c r="C12" s="13">
        <v>1</v>
      </c>
      <c r="I12" s="13">
        <v>1</v>
      </c>
      <c r="K12" s="13">
        <v>1</v>
      </c>
      <c r="L12" s="218">
        <f t="shared" si="0"/>
        <v>4</v>
      </c>
    </row>
    <row r="13" spans="1:12" ht="15.75" customHeight="1">
      <c r="A13" s="3" t="s">
        <v>16</v>
      </c>
      <c r="B13" s="13">
        <v>1</v>
      </c>
      <c r="D13" s="13">
        <v>1</v>
      </c>
      <c r="H13" s="13">
        <v>1</v>
      </c>
      <c r="I13" s="13">
        <v>1</v>
      </c>
      <c r="L13" s="218">
        <f t="shared" si="0"/>
        <v>4</v>
      </c>
    </row>
    <row r="14" spans="1:12" ht="15.75" customHeight="1">
      <c r="A14" s="13" t="s">
        <v>150</v>
      </c>
      <c r="G14" s="13">
        <v>1</v>
      </c>
      <c r="H14" s="13">
        <v>1</v>
      </c>
      <c r="L14" s="219">
        <f t="shared" si="0"/>
        <v>2</v>
      </c>
    </row>
    <row r="15" spans="1:12" ht="15.75" customHeight="1">
      <c r="A15" s="3" t="s">
        <v>13</v>
      </c>
      <c r="B15" s="13">
        <v>1</v>
      </c>
      <c r="C15" s="13">
        <v>1</v>
      </c>
      <c r="D15" s="13">
        <v>1</v>
      </c>
      <c r="H15" s="13">
        <v>1</v>
      </c>
      <c r="J15" s="13">
        <v>1</v>
      </c>
      <c r="K15" s="13">
        <v>1</v>
      </c>
      <c r="L15" s="220">
        <f t="shared" si="0"/>
        <v>6</v>
      </c>
    </row>
    <row r="16" spans="1:12" ht="15.75" customHeight="1">
      <c r="A16" s="3" t="s">
        <v>88</v>
      </c>
      <c r="B16" s="13">
        <v>1</v>
      </c>
      <c r="D16" s="13">
        <v>1</v>
      </c>
      <c r="L16" s="219">
        <f t="shared" si="0"/>
        <v>2</v>
      </c>
    </row>
    <row r="17" spans="1:12" ht="15.75" customHeight="1">
      <c r="A17" s="3" t="s">
        <v>91</v>
      </c>
      <c r="D17" s="13">
        <v>1</v>
      </c>
      <c r="F17" s="13">
        <v>1</v>
      </c>
      <c r="G17" s="13">
        <v>1</v>
      </c>
      <c r="I17" s="13">
        <v>1</v>
      </c>
      <c r="L17" s="218">
        <f t="shared" si="0"/>
        <v>4</v>
      </c>
    </row>
    <row r="18" spans="1:12" ht="15.75" customHeight="1">
      <c r="A18" s="13" t="s">
        <v>348</v>
      </c>
      <c r="F18" s="13">
        <v>1</v>
      </c>
      <c r="L18" s="219">
        <f t="shared" si="0"/>
        <v>1</v>
      </c>
    </row>
    <row r="19" spans="1:12" ht="15.75" customHeight="1">
      <c r="A19" s="13" t="s">
        <v>193</v>
      </c>
      <c r="B19" s="13">
        <v>1</v>
      </c>
      <c r="C19" s="13">
        <v>1</v>
      </c>
      <c r="H19" s="13">
        <v>1</v>
      </c>
      <c r="L19" s="219">
        <f t="shared" si="0"/>
        <v>3</v>
      </c>
    </row>
    <row r="20" spans="1:12" ht="15.75" customHeight="1">
      <c r="A20" s="13" t="s">
        <v>224</v>
      </c>
      <c r="H20" s="13">
        <v>1</v>
      </c>
      <c r="I20" s="13">
        <v>1</v>
      </c>
      <c r="L20" s="219">
        <f t="shared" si="0"/>
        <v>2</v>
      </c>
    </row>
    <row r="21" spans="1:12" ht="15.75" customHeight="1">
      <c r="A21" s="3" t="s">
        <v>247</v>
      </c>
      <c r="J21" s="13">
        <v>1</v>
      </c>
      <c r="L21" s="219">
        <f t="shared" si="0"/>
        <v>1</v>
      </c>
    </row>
    <row r="22" spans="1:12" ht="15.75" customHeight="1">
      <c r="A22" s="3" t="s">
        <v>248</v>
      </c>
      <c r="J22" s="13">
        <v>1</v>
      </c>
      <c r="L22" s="219">
        <f t="shared" si="0"/>
        <v>1</v>
      </c>
    </row>
    <row r="23" spans="1:12" ht="15.75" customHeight="1">
      <c r="A23" s="3" t="s">
        <v>250</v>
      </c>
      <c r="J23" s="13">
        <v>1</v>
      </c>
      <c r="L23" s="219">
        <f t="shared" si="0"/>
        <v>1</v>
      </c>
    </row>
    <row r="24" spans="1:12" ht="15.75" customHeight="1">
      <c r="A24" s="3" t="s">
        <v>249</v>
      </c>
      <c r="J24" s="13">
        <v>1</v>
      </c>
      <c r="L24" s="219">
        <f t="shared" si="0"/>
        <v>1</v>
      </c>
    </row>
    <row r="25" spans="1:12" ht="15.75" customHeight="1">
      <c r="A25" s="3" t="s">
        <v>92</v>
      </c>
      <c r="D25" s="13">
        <v>1</v>
      </c>
      <c r="F25" s="13">
        <v>1</v>
      </c>
      <c r="G25" s="13">
        <v>1</v>
      </c>
      <c r="H25" s="13">
        <v>1</v>
      </c>
      <c r="K25" s="13">
        <v>1</v>
      </c>
      <c r="L25" s="218">
        <f t="shared" si="0"/>
        <v>5</v>
      </c>
    </row>
    <row r="26" spans="1:12" ht="15.75" customHeight="1">
      <c r="A26" s="3" t="s">
        <v>288</v>
      </c>
      <c r="B26" s="13">
        <v>1</v>
      </c>
      <c r="L26" s="219">
        <f t="shared" si="0"/>
        <v>1</v>
      </c>
    </row>
    <row r="27" spans="1:12" ht="15.75" customHeight="1">
      <c r="A27" s="3" t="s">
        <v>282</v>
      </c>
      <c r="B27" s="13">
        <v>1</v>
      </c>
      <c r="L27" s="219">
        <f t="shared" si="0"/>
        <v>1</v>
      </c>
    </row>
    <row r="28" spans="1:12" ht="15.75" customHeight="1">
      <c r="A28" s="3" t="s">
        <v>107</v>
      </c>
      <c r="B28" s="13">
        <v>1</v>
      </c>
      <c r="E28" s="13">
        <v>1</v>
      </c>
      <c r="L28" s="219">
        <f t="shared" si="0"/>
        <v>2</v>
      </c>
    </row>
    <row r="29" spans="1:12" ht="15.75" customHeight="1">
      <c r="A29" s="3" t="s">
        <v>25</v>
      </c>
      <c r="B29" s="13">
        <v>1</v>
      </c>
      <c r="D29" s="13">
        <v>1</v>
      </c>
      <c r="H29" s="13">
        <v>1</v>
      </c>
      <c r="L29" s="219">
        <f t="shared" si="0"/>
        <v>3</v>
      </c>
    </row>
    <row r="30" spans="1:12" ht="15.75" customHeight="1">
      <c r="A30" s="3" t="s">
        <v>243</v>
      </c>
      <c r="I30" s="13">
        <v>1</v>
      </c>
      <c r="L30" s="219">
        <f t="shared" si="0"/>
        <v>1</v>
      </c>
    </row>
    <row r="31" spans="1:12" ht="15.75" customHeight="1">
      <c r="A31" s="13" t="s">
        <v>82</v>
      </c>
      <c r="B31" s="13">
        <v>1</v>
      </c>
      <c r="D31" s="13">
        <v>1</v>
      </c>
      <c r="J31" s="13">
        <v>1</v>
      </c>
      <c r="L31" s="219">
        <f t="shared" si="0"/>
        <v>3</v>
      </c>
    </row>
    <row r="32" spans="1:12" ht="15.75" customHeight="1">
      <c r="A32" s="13" t="s">
        <v>27</v>
      </c>
      <c r="B32" s="13">
        <v>1</v>
      </c>
      <c r="H32" s="13">
        <v>1</v>
      </c>
      <c r="L32" s="219">
        <f t="shared" si="0"/>
        <v>2</v>
      </c>
    </row>
    <row r="33" spans="1:12" ht="15.75" customHeight="1">
      <c r="A33" s="13" t="s">
        <v>289</v>
      </c>
      <c r="B33" s="13">
        <v>1</v>
      </c>
      <c r="C33" s="13">
        <v>1</v>
      </c>
      <c r="L33" s="219">
        <f t="shared" si="0"/>
        <v>2</v>
      </c>
    </row>
    <row r="34" spans="1:12" ht="15.75" customHeight="1">
      <c r="A34" s="6" t="s">
        <v>251</v>
      </c>
      <c r="J34" s="13">
        <v>1</v>
      </c>
      <c r="L34" s="219">
        <f t="shared" si="0"/>
        <v>1</v>
      </c>
    </row>
    <row r="35" spans="1:12" ht="15.75" customHeight="1">
      <c r="A35" s="13" t="s">
        <v>345</v>
      </c>
      <c r="E35" s="13">
        <v>1</v>
      </c>
      <c r="L35" s="219">
        <f t="shared" si="0"/>
        <v>1</v>
      </c>
    </row>
    <row r="36" spans="1:12" ht="15.75" customHeight="1">
      <c r="A36" s="13" t="s">
        <v>164</v>
      </c>
      <c r="B36" s="13">
        <v>1</v>
      </c>
      <c r="C36" s="13">
        <v>1</v>
      </c>
      <c r="D36" s="13">
        <v>1</v>
      </c>
      <c r="G36" s="13">
        <v>1</v>
      </c>
      <c r="H36" s="13">
        <v>1</v>
      </c>
      <c r="K36" s="13">
        <v>1</v>
      </c>
      <c r="L36" s="220">
        <f t="shared" si="0"/>
        <v>6</v>
      </c>
    </row>
    <row r="37" spans="1:12" ht="15.75" customHeight="1">
      <c r="A37" s="13" t="s">
        <v>10</v>
      </c>
      <c r="B37" s="13">
        <v>1</v>
      </c>
      <c r="C37" s="13">
        <v>1</v>
      </c>
      <c r="E37" s="13">
        <v>1</v>
      </c>
      <c r="H37" s="13">
        <v>1</v>
      </c>
      <c r="I37" s="13">
        <v>1</v>
      </c>
      <c r="L37" s="218">
        <f t="shared" si="0"/>
        <v>5</v>
      </c>
    </row>
    <row r="38" spans="1:12" ht="15.75" customHeight="1">
      <c r="A38" s="3" t="s">
        <v>242</v>
      </c>
      <c r="B38" s="13">
        <v>1</v>
      </c>
      <c r="I38" s="13">
        <v>1</v>
      </c>
      <c r="L38" s="219">
        <f t="shared" si="0"/>
        <v>2</v>
      </c>
    </row>
    <row r="39" spans="1:12" ht="15.75" customHeight="1">
      <c r="A39" s="3" t="s">
        <v>30</v>
      </c>
      <c r="B39" s="13">
        <v>1</v>
      </c>
      <c r="H39" s="13">
        <v>1</v>
      </c>
      <c r="L39" s="219">
        <f t="shared" si="0"/>
        <v>2</v>
      </c>
    </row>
    <row r="40" spans="1:12" ht="15.75" customHeight="1">
      <c r="A40" s="3" t="s">
        <v>99</v>
      </c>
      <c r="B40" s="13">
        <v>1</v>
      </c>
      <c r="D40" s="13">
        <v>1</v>
      </c>
      <c r="E40" s="13">
        <v>1</v>
      </c>
      <c r="F40" s="13">
        <v>1</v>
      </c>
      <c r="G40" s="13">
        <v>1</v>
      </c>
      <c r="H40" s="13">
        <v>1</v>
      </c>
      <c r="J40" s="13">
        <v>1</v>
      </c>
      <c r="K40" s="13">
        <v>1</v>
      </c>
      <c r="L40" s="220">
        <f t="shared" si="0"/>
        <v>8</v>
      </c>
    </row>
    <row r="41" spans="1:12" ht="15.75" customHeight="1">
      <c r="A41" s="3" t="s">
        <v>37</v>
      </c>
      <c r="B41" s="13">
        <v>1</v>
      </c>
      <c r="L41" s="219">
        <f t="shared" si="0"/>
        <v>1</v>
      </c>
    </row>
    <row r="42" spans="1:12" ht="15.75" customHeight="1">
      <c r="A42" s="3" t="s">
        <v>39</v>
      </c>
      <c r="B42" s="13">
        <v>1</v>
      </c>
      <c r="L42" s="219">
        <f t="shared" si="0"/>
        <v>1</v>
      </c>
    </row>
    <row r="43" spans="1:12" ht="15.75" customHeight="1">
      <c r="A43" s="3" t="s">
        <v>40</v>
      </c>
      <c r="B43" s="13">
        <v>1</v>
      </c>
      <c r="L43" s="219">
        <f t="shared" si="0"/>
        <v>1</v>
      </c>
    </row>
    <row r="44" spans="1:12" ht="15.75" customHeight="1">
      <c r="A44" s="13" t="s">
        <v>158</v>
      </c>
      <c r="G44" s="13">
        <v>1</v>
      </c>
      <c r="J44" s="13">
        <v>1</v>
      </c>
      <c r="L44" s="221">
        <f t="shared" si="0"/>
        <v>2</v>
      </c>
    </row>
    <row r="45" spans="1:12" ht="15.75" customHeight="1">
      <c r="A45" s="222" t="s">
        <v>2498</v>
      </c>
      <c r="B45" s="223">
        <f t="shared" ref="B45:K45" si="1">SUM(B4:B44)</f>
        <v>23</v>
      </c>
      <c r="C45" s="223">
        <f t="shared" si="1"/>
        <v>7</v>
      </c>
      <c r="D45" s="223">
        <f t="shared" si="1"/>
        <v>12</v>
      </c>
      <c r="E45" s="223">
        <f t="shared" si="1"/>
        <v>4</v>
      </c>
      <c r="F45" s="223">
        <f t="shared" si="1"/>
        <v>5</v>
      </c>
      <c r="G45" s="223">
        <f t="shared" si="1"/>
        <v>6</v>
      </c>
      <c r="H45" s="223">
        <f t="shared" si="1"/>
        <v>16</v>
      </c>
      <c r="I45" s="223">
        <f t="shared" si="1"/>
        <v>8</v>
      </c>
      <c r="J45" s="223">
        <f t="shared" si="1"/>
        <v>12</v>
      </c>
      <c r="K45" s="211">
        <f t="shared" si="1"/>
        <v>5</v>
      </c>
    </row>
    <row r="46" spans="1:12" ht="15.75" customHeight="1"/>
    <row r="47" spans="1:12" ht="15.75" customHeight="1"/>
    <row r="48" spans="1:12" ht="15.75" customHeight="1">
      <c r="C48" s="3"/>
    </row>
    <row r="49" spans="3:3" ht="15.75" customHeight="1">
      <c r="C49" s="6"/>
    </row>
    <row r="50" spans="3:3" ht="15.75" customHeight="1">
      <c r="C50" s="3"/>
    </row>
    <row r="51" spans="3:3" ht="15.75" customHeight="1">
      <c r="C51" s="3"/>
    </row>
    <row r="52" spans="3:3" ht="15.75" customHeight="1">
      <c r="C52" s="3"/>
    </row>
    <row r="53" spans="3:3" ht="15.75" customHeight="1"/>
    <row r="54" spans="3:3" ht="15.75" customHeight="1"/>
    <row r="55" spans="3:3" ht="15.75" customHeight="1"/>
    <row r="56" spans="3:3" ht="15.75" customHeight="1"/>
    <row r="57" spans="3:3" ht="15.75" customHeight="1"/>
    <row r="58" spans="3:3" ht="15.75" customHeight="1"/>
    <row r="59" spans="3:3" ht="15.75" customHeight="1"/>
    <row r="60" spans="3:3" ht="15.75" customHeight="1"/>
    <row r="61" spans="3:3" ht="15.75" customHeight="1"/>
    <row r="62" spans="3:3" ht="15.75" customHeight="1"/>
    <row r="63" spans="3:3" ht="15.75" customHeight="1"/>
    <row r="64" spans="3: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00"/>
  <sheetViews>
    <sheetView workbookViewId="0"/>
  </sheetViews>
  <sheetFormatPr baseColWidth="10" defaultColWidth="11.1640625" defaultRowHeight="15" customHeight="1"/>
  <cols>
    <col min="1" max="1" width="12.33203125" customWidth="1"/>
    <col min="2" max="2" width="9.5" customWidth="1"/>
    <col min="3" max="3" width="9.33203125" customWidth="1"/>
    <col min="4" max="26" width="6.83203125" customWidth="1"/>
  </cols>
  <sheetData>
    <row r="1" spans="1:3" ht="15.75" customHeight="1">
      <c r="A1" s="13" t="s">
        <v>2388</v>
      </c>
      <c r="B1" s="13" t="s">
        <v>2499</v>
      </c>
      <c r="C1" s="13" t="s">
        <v>2500</v>
      </c>
    </row>
    <row r="2" spans="1:3" ht="15.75" customHeight="1">
      <c r="A2" s="3" t="s">
        <v>14</v>
      </c>
      <c r="B2" s="13" t="s">
        <v>2501</v>
      </c>
      <c r="C2" s="13">
        <v>2023</v>
      </c>
    </row>
    <row r="3" spans="1:3" ht="15.75" customHeight="1">
      <c r="A3" s="3" t="s">
        <v>14</v>
      </c>
      <c r="B3" s="13" t="s">
        <v>2502</v>
      </c>
      <c r="C3" s="13">
        <v>2022</v>
      </c>
    </row>
    <row r="4" spans="1:3" ht="15.75" customHeight="1">
      <c r="A4" s="3" t="s">
        <v>14</v>
      </c>
      <c r="B4" s="13" t="s">
        <v>2503</v>
      </c>
      <c r="C4" s="13">
        <v>2022</v>
      </c>
    </row>
    <row r="5" spans="1:3" ht="15.75" customHeight="1">
      <c r="A5" s="3" t="s">
        <v>14</v>
      </c>
      <c r="B5" s="13" t="s">
        <v>313</v>
      </c>
      <c r="C5" s="13">
        <v>2022</v>
      </c>
    </row>
    <row r="6" spans="1:3" ht="15.75" customHeight="1">
      <c r="A6" s="3" t="s">
        <v>14</v>
      </c>
      <c r="B6" s="13" t="s">
        <v>2504</v>
      </c>
      <c r="C6" s="13">
        <v>2021</v>
      </c>
    </row>
    <row r="7" spans="1:3" ht="15.75" customHeight="1">
      <c r="A7" s="3" t="s">
        <v>14</v>
      </c>
      <c r="B7" s="13" t="s">
        <v>2505</v>
      </c>
      <c r="C7" s="13">
        <v>2020</v>
      </c>
    </row>
    <row r="8" spans="1:3" ht="15.75" customHeight="1">
      <c r="A8" s="3" t="s">
        <v>14</v>
      </c>
      <c r="B8" s="13" t="s">
        <v>2506</v>
      </c>
      <c r="C8" s="13">
        <v>2020</v>
      </c>
    </row>
    <row r="9" spans="1:3" ht="15.75" customHeight="1">
      <c r="A9" s="3" t="s">
        <v>14</v>
      </c>
      <c r="B9" s="224" t="s">
        <v>2507</v>
      </c>
      <c r="C9" s="13">
        <v>2019</v>
      </c>
    </row>
    <row r="10" spans="1:3" ht="15.75" customHeight="1">
      <c r="A10" s="3" t="s">
        <v>14</v>
      </c>
      <c r="B10" s="13" t="s">
        <v>2508</v>
      </c>
      <c r="C10" s="13">
        <v>2018</v>
      </c>
    </row>
    <row r="11" spans="1:3" ht="15.75" customHeight="1">
      <c r="A11" s="3" t="s">
        <v>14</v>
      </c>
      <c r="B11" s="13" t="s">
        <v>2509</v>
      </c>
      <c r="C11" s="13">
        <v>2018</v>
      </c>
    </row>
    <row r="12" spans="1:3" ht="15.75" customHeight="1">
      <c r="A12" s="13" t="s">
        <v>72</v>
      </c>
      <c r="C12" s="13">
        <v>2012</v>
      </c>
    </row>
    <row r="13" spans="1:3" ht="15.75" customHeight="1">
      <c r="A13" s="13" t="s">
        <v>76</v>
      </c>
      <c r="B13" s="13" t="s">
        <v>2510</v>
      </c>
      <c r="C13" s="13">
        <v>2012</v>
      </c>
    </row>
    <row r="14" spans="1:3" ht="15.75" customHeight="1">
      <c r="A14" s="13" t="s">
        <v>76</v>
      </c>
      <c r="B14" s="13" t="s">
        <v>2511</v>
      </c>
      <c r="C14" s="13">
        <v>2012</v>
      </c>
    </row>
    <row r="15" spans="1:3" ht="15.75" customHeight="1">
      <c r="A15" s="3" t="s">
        <v>253</v>
      </c>
      <c r="B15" s="13" t="s">
        <v>2512</v>
      </c>
      <c r="C15" s="13">
        <v>2013</v>
      </c>
    </row>
    <row r="16" spans="1:3" ht="15.75" customHeight="1">
      <c r="A16" s="3" t="s">
        <v>21</v>
      </c>
      <c r="B16" s="13" t="s">
        <v>2513</v>
      </c>
      <c r="C16" s="13">
        <v>2012</v>
      </c>
    </row>
    <row r="17" spans="1:3" ht="15.75" customHeight="1">
      <c r="A17" s="3" t="s">
        <v>21</v>
      </c>
      <c r="B17" s="13" t="s">
        <v>2514</v>
      </c>
      <c r="C17" s="13">
        <v>2011</v>
      </c>
    </row>
    <row r="18" spans="1:3" ht="15.75" customHeight="1">
      <c r="A18" s="13" t="s">
        <v>226</v>
      </c>
      <c r="C18" s="13">
        <v>2016</v>
      </c>
    </row>
    <row r="19" spans="1:3" ht="15.75" customHeight="1">
      <c r="A19" s="3" t="s">
        <v>23</v>
      </c>
      <c r="B19" s="13" t="s">
        <v>2515</v>
      </c>
      <c r="C19" s="13">
        <v>2023</v>
      </c>
    </row>
    <row r="20" spans="1:3" ht="15.75" customHeight="1">
      <c r="A20" s="3" t="s">
        <v>23</v>
      </c>
      <c r="B20" s="13" t="s">
        <v>2516</v>
      </c>
      <c r="C20" s="13">
        <v>2020</v>
      </c>
    </row>
    <row r="21" spans="1:3" ht="15.75" customHeight="1">
      <c r="A21" s="3" t="s">
        <v>23</v>
      </c>
      <c r="B21" s="13" t="s">
        <v>2517</v>
      </c>
      <c r="C21" s="13">
        <v>2019</v>
      </c>
    </row>
    <row r="22" spans="1:3" ht="15.75" customHeight="1">
      <c r="A22" s="3" t="s">
        <v>23</v>
      </c>
      <c r="B22" s="13" t="s">
        <v>2518</v>
      </c>
      <c r="C22" s="13">
        <v>2017</v>
      </c>
    </row>
    <row r="23" spans="1:3" ht="15.75" customHeight="1">
      <c r="A23" s="3" t="s">
        <v>23</v>
      </c>
      <c r="B23" s="13" t="s">
        <v>2519</v>
      </c>
      <c r="C23" s="13">
        <v>2016</v>
      </c>
    </row>
    <row r="24" spans="1:3" ht="15.75" customHeight="1">
      <c r="A24" s="3" t="s">
        <v>23</v>
      </c>
      <c r="B24" s="13" t="s">
        <v>2520</v>
      </c>
      <c r="C24" s="13">
        <v>2016</v>
      </c>
    </row>
    <row r="25" spans="1:3" ht="15.75" customHeight="1">
      <c r="A25" s="3" t="s">
        <v>23</v>
      </c>
      <c r="B25" s="13" t="s">
        <v>2521</v>
      </c>
      <c r="C25" s="13">
        <v>2016</v>
      </c>
    </row>
    <row r="26" spans="1:3" ht="15.75" customHeight="1">
      <c r="A26" s="3" t="s">
        <v>23</v>
      </c>
      <c r="B26" s="13" t="s">
        <v>2522</v>
      </c>
      <c r="C26" s="13">
        <v>2015</v>
      </c>
    </row>
    <row r="27" spans="1:3" ht="15.75" customHeight="1">
      <c r="A27" s="3" t="s">
        <v>252</v>
      </c>
      <c r="C27" s="13">
        <v>2011</v>
      </c>
    </row>
    <row r="28" spans="1:3" ht="15.75" customHeight="1">
      <c r="A28" s="3" t="s">
        <v>22</v>
      </c>
      <c r="B28" s="13" t="s">
        <v>2523</v>
      </c>
      <c r="C28" s="13">
        <v>2019</v>
      </c>
    </row>
    <row r="29" spans="1:3" ht="15.75" customHeight="1">
      <c r="A29" s="3" t="s">
        <v>22</v>
      </c>
      <c r="B29" s="13" t="s">
        <v>322</v>
      </c>
      <c r="C29" s="13">
        <v>2017</v>
      </c>
    </row>
    <row r="30" spans="1:3" ht="15.75" customHeight="1">
      <c r="A30" s="3" t="s">
        <v>22</v>
      </c>
      <c r="B30" s="13" t="s">
        <v>2524</v>
      </c>
      <c r="C30" s="13">
        <v>2016</v>
      </c>
    </row>
    <row r="31" spans="1:3" ht="15.75" customHeight="1">
      <c r="A31" s="3" t="s">
        <v>22</v>
      </c>
      <c r="B31" s="13" t="s">
        <v>2525</v>
      </c>
      <c r="C31" s="13">
        <v>2015</v>
      </c>
    </row>
    <row r="32" spans="1:3" ht="15.75" customHeight="1">
      <c r="A32" s="3" t="s">
        <v>22</v>
      </c>
      <c r="B32" s="13" t="s">
        <v>2526</v>
      </c>
      <c r="C32" s="13">
        <v>2014</v>
      </c>
    </row>
    <row r="33" spans="1:3" ht="15.75" customHeight="1">
      <c r="A33" s="3" t="s">
        <v>22</v>
      </c>
      <c r="B33" s="13" t="s">
        <v>2527</v>
      </c>
      <c r="C33" s="13">
        <v>2014</v>
      </c>
    </row>
    <row r="34" spans="1:3" ht="15.75" customHeight="1">
      <c r="A34" s="3" t="s">
        <v>22</v>
      </c>
      <c r="B34" s="13" t="s">
        <v>2528</v>
      </c>
      <c r="C34" s="13">
        <v>2014</v>
      </c>
    </row>
    <row r="35" spans="1:3" ht="15.75" customHeight="1">
      <c r="A35" s="3" t="s">
        <v>22</v>
      </c>
      <c r="B35" s="13" t="s">
        <v>2529</v>
      </c>
      <c r="C35" s="13">
        <v>2014</v>
      </c>
    </row>
    <row r="36" spans="1:3" ht="15.75" customHeight="1">
      <c r="A36" s="3" t="s">
        <v>22</v>
      </c>
      <c r="B36" s="13" t="s">
        <v>2530</v>
      </c>
      <c r="C36" s="13">
        <v>2014</v>
      </c>
    </row>
    <row r="37" spans="1:3" ht="15.75" customHeight="1">
      <c r="A37" s="3" t="s">
        <v>22</v>
      </c>
      <c r="B37" s="13" t="s">
        <v>2531</v>
      </c>
      <c r="C37" s="13">
        <v>2014</v>
      </c>
    </row>
    <row r="38" spans="1:3" ht="15.75" customHeight="1">
      <c r="A38" s="3" t="s">
        <v>16</v>
      </c>
      <c r="B38" s="13" t="s">
        <v>2532</v>
      </c>
      <c r="C38" s="13">
        <v>2016</v>
      </c>
    </row>
    <row r="39" spans="1:3" ht="15.75" customHeight="1">
      <c r="A39" s="13" t="s">
        <v>150</v>
      </c>
      <c r="B39" s="13" t="s">
        <v>2533</v>
      </c>
      <c r="C39" s="13">
        <v>2020</v>
      </c>
    </row>
    <row r="40" spans="1:3" ht="15.75" customHeight="1">
      <c r="A40" s="13" t="s">
        <v>150</v>
      </c>
      <c r="B40" s="13" t="s">
        <v>2534</v>
      </c>
      <c r="C40" s="13">
        <v>2020</v>
      </c>
    </row>
    <row r="41" spans="1:3" ht="15.75" customHeight="1">
      <c r="A41" s="13" t="s">
        <v>150</v>
      </c>
      <c r="B41" s="13" t="s">
        <v>2535</v>
      </c>
      <c r="C41" s="13">
        <v>2019</v>
      </c>
    </row>
    <row r="42" spans="1:3" ht="15.75" customHeight="1">
      <c r="A42" s="13" t="s">
        <v>150</v>
      </c>
      <c r="B42" s="13" t="s">
        <v>2536</v>
      </c>
      <c r="C42" s="13">
        <v>2019</v>
      </c>
    </row>
    <row r="43" spans="1:3" ht="15.75" customHeight="1">
      <c r="A43" s="13" t="s">
        <v>150</v>
      </c>
      <c r="B43" s="13" t="s">
        <v>2507</v>
      </c>
      <c r="C43" s="13">
        <v>2018</v>
      </c>
    </row>
    <row r="44" spans="1:3" ht="15.75" customHeight="1">
      <c r="A44" s="13" t="s">
        <v>150</v>
      </c>
      <c r="B44" s="13" t="s">
        <v>2509</v>
      </c>
      <c r="C44" s="13">
        <v>2018</v>
      </c>
    </row>
    <row r="45" spans="1:3" ht="15.75" customHeight="1">
      <c r="A45" s="13" t="s">
        <v>150</v>
      </c>
      <c r="B45" s="13" t="s">
        <v>2537</v>
      </c>
      <c r="C45" s="13">
        <v>2017</v>
      </c>
    </row>
    <row r="46" spans="1:3" ht="15.75" customHeight="1">
      <c r="A46" s="13" t="s">
        <v>150</v>
      </c>
      <c r="B46" s="13" t="s">
        <v>2538</v>
      </c>
      <c r="C46" s="13">
        <v>2017</v>
      </c>
    </row>
    <row r="47" spans="1:3" ht="15.75" customHeight="1">
      <c r="A47" s="3" t="s">
        <v>13</v>
      </c>
      <c r="B47" s="13" t="s">
        <v>2539</v>
      </c>
      <c r="C47" s="13">
        <v>2021</v>
      </c>
    </row>
    <row r="48" spans="1:3" ht="15.75" customHeight="1">
      <c r="A48" s="3" t="s">
        <v>13</v>
      </c>
      <c r="B48" s="13" t="s">
        <v>2540</v>
      </c>
      <c r="C48" s="13">
        <v>2021</v>
      </c>
    </row>
    <row r="49" spans="1:3" ht="15.75" customHeight="1">
      <c r="A49" s="3" t="s">
        <v>13</v>
      </c>
      <c r="B49" s="13" t="s">
        <v>2541</v>
      </c>
      <c r="C49" s="13">
        <v>2019</v>
      </c>
    </row>
    <row r="50" spans="1:3" ht="15.75" customHeight="1">
      <c r="A50" s="3" t="s">
        <v>13</v>
      </c>
      <c r="B50" s="13" t="s">
        <v>302</v>
      </c>
      <c r="C50" s="13">
        <v>2019</v>
      </c>
    </row>
    <row r="51" spans="1:3" ht="15.75" customHeight="1">
      <c r="A51" s="3" t="s">
        <v>13</v>
      </c>
      <c r="B51" s="13" t="s">
        <v>318</v>
      </c>
      <c r="C51" s="13">
        <v>2019</v>
      </c>
    </row>
    <row r="52" spans="1:3" ht="15.75" customHeight="1">
      <c r="A52" s="3" t="s">
        <v>88</v>
      </c>
      <c r="B52" s="13" t="s">
        <v>2542</v>
      </c>
      <c r="C52" s="13">
        <v>2012</v>
      </c>
    </row>
    <row r="53" spans="1:3" ht="15.75" customHeight="1">
      <c r="A53" s="3" t="s">
        <v>315</v>
      </c>
      <c r="B53" s="13" t="s">
        <v>2543</v>
      </c>
      <c r="C53" s="13">
        <v>2022</v>
      </c>
    </row>
    <row r="54" spans="1:3" ht="15.75" customHeight="1">
      <c r="A54" s="3" t="s">
        <v>315</v>
      </c>
      <c r="B54" s="13" t="s">
        <v>2544</v>
      </c>
      <c r="C54" s="13">
        <v>2022</v>
      </c>
    </row>
    <row r="55" spans="1:3" ht="15.75" customHeight="1">
      <c r="A55" s="3" t="s">
        <v>315</v>
      </c>
      <c r="B55" s="13" t="s">
        <v>2545</v>
      </c>
      <c r="C55" s="13">
        <v>2021</v>
      </c>
    </row>
    <row r="56" spans="1:3" ht="15.75" customHeight="1">
      <c r="A56" s="3" t="s">
        <v>315</v>
      </c>
      <c r="B56" s="13" t="s">
        <v>2546</v>
      </c>
      <c r="C56" s="13">
        <v>2021</v>
      </c>
    </row>
    <row r="57" spans="1:3" ht="15.75" customHeight="1">
      <c r="A57" s="3" t="s">
        <v>315</v>
      </c>
      <c r="B57" s="13" t="s">
        <v>2501</v>
      </c>
      <c r="C57" s="13">
        <v>2021</v>
      </c>
    </row>
    <row r="58" spans="1:3" ht="15.75" customHeight="1">
      <c r="A58" s="3" t="s">
        <v>315</v>
      </c>
      <c r="B58" s="13" t="s">
        <v>2547</v>
      </c>
      <c r="C58" s="13">
        <v>2020</v>
      </c>
    </row>
    <row r="59" spans="1:3" ht="15.75" customHeight="1">
      <c r="A59" s="3" t="s">
        <v>315</v>
      </c>
      <c r="B59" s="13" t="s">
        <v>2548</v>
      </c>
      <c r="C59" s="13">
        <v>2020</v>
      </c>
    </row>
    <row r="60" spans="1:3" ht="15.75" customHeight="1">
      <c r="A60" s="3" t="s">
        <v>315</v>
      </c>
      <c r="B60" s="13" t="s">
        <v>313</v>
      </c>
      <c r="C60" s="13">
        <v>2019</v>
      </c>
    </row>
    <row r="61" spans="1:3" ht="15.75" customHeight="1">
      <c r="A61" s="3" t="s">
        <v>315</v>
      </c>
      <c r="B61" s="13" t="s">
        <v>2504</v>
      </c>
      <c r="C61" s="13">
        <v>2019</v>
      </c>
    </row>
    <row r="62" spans="1:3" ht="15.75" customHeight="1">
      <c r="A62" s="3" t="s">
        <v>315</v>
      </c>
      <c r="B62" s="13" t="s">
        <v>2549</v>
      </c>
      <c r="C62" s="13">
        <v>2019</v>
      </c>
    </row>
    <row r="63" spans="1:3" ht="15.75" customHeight="1">
      <c r="A63" s="3" t="s">
        <v>91</v>
      </c>
      <c r="C63" s="13">
        <v>2011</v>
      </c>
    </row>
    <row r="64" spans="1:3" ht="15.75" customHeight="1">
      <c r="A64" s="13" t="s">
        <v>348</v>
      </c>
      <c r="B64" s="13" t="s">
        <v>2509</v>
      </c>
      <c r="C64" s="13">
        <v>2016</v>
      </c>
    </row>
    <row r="65" spans="1:3" ht="15.75" customHeight="1">
      <c r="A65" s="13" t="s">
        <v>193</v>
      </c>
      <c r="B65" s="13" t="s">
        <v>323</v>
      </c>
      <c r="C65" s="13">
        <v>2017</v>
      </c>
    </row>
    <row r="66" spans="1:3" ht="15.75" customHeight="1">
      <c r="A66" s="13" t="s">
        <v>224</v>
      </c>
      <c r="C66" s="13">
        <v>2016</v>
      </c>
    </row>
    <row r="67" spans="1:3" ht="15.75" customHeight="1">
      <c r="A67" s="3" t="s">
        <v>247</v>
      </c>
      <c r="C67" s="13">
        <v>2016</v>
      </c>
    </row>
    <row r="68" spans="1:3" ht="15.75" customHeight="1">
      <c r="A68" s="3" t="s">
        <v>248</v>
      </c>
      <c r="C68" s="13">
        <v>2016</v>
      </c>
    </row>
    <row r="69" spans="1:3" ht="15.75" customHeight="1">
      <c r="A69" s="3" t="s">
        <v>250</v>
      </c>
      <c r="C69" s="13">
        <v>2016</v>
      </c>
    </row>
    <row r="70" spans="1:3" ht="15.75" customHeight="1">
      <c r="A70" s="3" t="s">
        <v>249</v>
      </c>
      <c r="C70" s="13">
        <v>2016</v>
      </c>
    </row>
    <row r="71" spans="1:3" ht="15.75" customHeight="1">
      <c r="A71" s="3" t="s">
        <v>92</v>
      </c>
      <c r="B71" s="13" t="s">
        <v>2550</v>
      </c>
      <c r="C71" s="13">
        <v>2022</v>
      </c>
    </row>
    <row r="72" spans="1:3" ht="15.75" customHeight="1">
      <c r="A72" s="3" t="s">
        <v>92</v>
      </c>
      <c r="B72" s="13" t="s">
        <v>2551</v>
      </c>
      <c r="C72" s="13">
        <v>2021</v>
      </c>
    </row>
    <row r="73" spans="1:3" ht="15.75" customHeight="1">
      <c r="A73" s="3" t="s">
        <v>92</v>
      </c>
      <c r="B73" s="13" t="s">
        <v>2552</v>
      </c>
      <c r="C73" s="13">
        <v>2021</v>
      </c>
    </row>
    <row r="74" spans="1:3" ht="15.75" customHeight="1">
      <c r="A74" s="3" t="s">
        <v>92</v>
      </c>
      <c r="B74" s="13" t="s">
        <v>2553</v>
      </c>
      <c r="C74" s="13">
        <v>2020</v>
      </c>
    </row>
    <row r="75" spans="1:3" ht="15.75" customHeight="1">
      <c r="A75" s="3" t="s">
        <v>92</v>
      </c>
      <c r="B75" s="13" t="s">
        <v>346</v>
      </c>
      <c r="C75" s="13">
        <v>2017</v>
      </c>
    </row>
    <row r="76" spans="1:3" ht="15.75" customHeight="1">
      <c r="A76" s="3" t="s">
        <v>92</v>
      </c>
      <c r="B76" s="13" t="s">
        <v>2554</v>
      </c>
      <c r="C76" s="13">
        <v>2016</v>
      </c>
    </row>
    <row r="77" spans="1:3" ht="15.75" customHeight="1">
      <c r="A77" s="3" t="s">
        <v>92</v>
      </c>
      <c r="B77" s="13" t="s">
        <v>2555</v>
      </c>
      <c r="C77" s="13">
        <v>2016</v>
      </c>
    </row>
    <row r="78" spans="1:3" ht="15.75" customHeight="1">
      <c r="A78" s="3" t="s">
        <v>92</v>
      </c>
      <c r="B78" s="13" t="s">
        <v>307</v>
      </c>
      <c r="C78" s="13">
        <v>2015</v>
      </c>
    </row>
    <row r="79" spans="1:3" ht="15.75" customHeight="1">
      <c r="A79" s="3" t="s">
        <v>288</v>
      </c>
    </row>
    <row r="80" spans="1:3" ht="15.75" customHeight="1">
      <c r="A80" s="3" t="s">
        <v>282</v>
      </c>
    </row>
    <row r="81" spans="1:3" ht="15.75" customHeight="1">
      <c r="A81" s="3" t="s">
        <v>107</v>
      </c>
    </row>
    <row r="82" spans="1:3" ht="15.75" customHeight="1">
      <c r="A82" s="3" t="s">
        <v>25</v>
      </c>
      <c r="C82" s="13">
        <v>2016</v>
      </c>
    </row>
    <row r="83" spans="1:3" ht="15.75" customHeight="1">
      <c r="A83" s="3" t="s">
        <v>243</v>
      </c>
      <c r="C83" s="13">
        <v>2021</v>
      </c>
    </row>
    <row r="84" spans="1:3" ht="15.75" customHeight="1">
      <c r="A84" s="13" t="s">
        <v>82</v>
      </c>
      <c r="C84" s="13">
        <v>2012</v>
      </c>
    </row>
    <row r="85" spans="1:3" ht="15.75" customHeight="1">
      <c r="A85" s="13" t="s">
        <v>27</v>
      </c>
      <c r="C85" s="13">
        <v>2017</v>
      </c>
    </row>
    <row r="86" spans="1:3" ht="15.75" customHeight="1">
      <c r="A86" s="13" t="s">
        <v>289</v>
      </c>
      <c r="C86" s="13">
        <v>2015</v>
      </c>
    </row>
    <row r="87" spans="1:3" ht="15.75" customHeight="1">
      <c r="A87" s="13" t="s">
        <v>289</v>
      </c>
      <c r="B87" s="13">
        <v>2</v>
      </c>
      <c r="C87" s="13">
        <v>2020</v>
      </c>
    </row>
    <row r="88" spans="1:3" ht="15.75" customHeight="1">
      <c r="A88" s="6" t="s">
        <v>251</v>
      </c>
      <c r="B88" s="13" t="s">
        <v>306</v>
      </c>
      <c r="C88" s="13">
        <v>2014</v>
      </c>
    </row>
    <row r="89" spans="1:3" ht="15.75" customHeight="1">
      <c r="A89" s="13" t="s">
        <v>345</v>
      </c>
      <c r="C89" s="13">
        <v>2021</v>
      </c>
    </row>
    <row r="90" spans="1:3" ht="15.75" customHeight="1">
      <c r="A90" s="13" t="s">
        <v>164</v>
      </c>
      <c r="C90" s="13">
        <v>2018</v>
      </c>
    </row>
    <row r="91" spans="1:3" ht="15.75" customHeight="1">
      <c r="A91" s="13" t="s">
        <v>10</v>
      </c>
      <c r="C91" s="13">
        <v>2023</v>
      </c>
    </row>
    <row r="92" spans="1:3" ht="15.75" customHeight="1">
      <c r="A92" s="13" t="s">
        <v>10</v>
      </c>
      <c r="C92" s="13">
        <v>2023</v>
      </c>
    </row>
    <row r="93" spans="1:3" ht="15.75" customHeight="1">
      <c r="A93" s="13" t="s">
        <v>10</v>
      </c>
      <c r="C93" s="13">
        <v>2022</v>
      </c>
    </row>
    <row r="94" spans="1:3" ht="15.75" customHeight="1">
      <c r="A94" s="13" t="s">
        <v>10</v>
      </c>
      <c r="C94" s="13">
        <v>2021</v>
      </c>
    </row>
    <row r="95" spans="1:3" ht="15.75" customHeight="1">
      <c r="A95" s="13" t="s">
        <v>10</v>
      </c>
      <c r="C95" s="13">
        <v>2021</v>
      </c>
    </row>
    <row r="96" spans="1:3" ht="15.75" customHeight="1">
      <c r="A96" s="13" t="s">
        <v>10</v>
      </c>
      <c r="C96" s="13">
        <v>2020</v>
      </c>
    </row>
    <row r="97" spans="1:3" ht="15.75" customHeight="1">
      <c r="A97" s="13" t="s">
        <v>10</v>
      </c>
      <c r="C97" s="13">
        <v>2020</v>
      </c>
    </row>
    <row r="98" spans="1:3" ht="15.75" customHeight="1">
      <c r="A98" s="13" t="s">
        <v>10</v>
      </c>
      <c r="C98" s="13">
        <v>2019</v>
      </c>
    </row>
    <row r="99" spans="1:3" ht="15.75" customHeight="1">
      <c r="A99" s="13" t="s">
        <v>10</v>
      </c>
      <c r="C99" s="13">
        <v>2019</v>
      </c>
    </row>
    <row r="100" spans="1:3" ht="15.75" customHeight="1">
      <c r="A100" s="13" t="s">
        <v>10</v>
      </c>
      <c r="C100" s="13">
        <v>2019</v>
      </c>
    </row>
    <row r="101" spans="1:3" ht="15.75" customHeight="1"/>
    <row r="102" spans="1:3" ht="15.75" customHeight="1">
      <c r="A102" s="13" t="s">
        <v>10</v>
      </c>
      <c r="C102" s="13">
        <v>2015</v>
      </c>
    </row>
    <row r="103" spans="1:3" ht="15.75" customHeight="1">
      <c r="A103" s="3" t="s">
        <v>242</v>
      </c>
    </row>
    <row r="104" spans="1:3" ht="15.75" customHeight="1">
      <c r="A104" s="3" t="s">
        <v>30</v>
      </c>
    </row>
    <row r="105" spans="1:3" ht="15.75" customHeight="1">
      <c r="A105" s="3" t="s">
        <v>99</v>
      </c>
    </row>
    <row r="106" spans="1:3" ht="15.75" customHeight="1">
      <c r="A106" s="3" t="s">
        <v>37</v>
      </c>
    </row>
    <row r="107" spans="1:3" ht="15.75" customHeight="1">
      <c r="A107" s="3" t="s">
        <v>39</v>
      </c>
    </row>
    <row r="108" spans="1:3" ht="15.75" customHeight="1">
      <c r="A108" s="3" t="s">
        <v>40</v>
      </c>
    </row>
    <row r="109" spans="1:3" ht="15.75" customHeight="1">
      <c r="A109" s="13" t="s">
        <v>158</v>
      </c>
    </row>
    <row r="110" spans="1:3" ht="15.75" customHeight="1"/>
    <row r="111" spans="1:3" ht="15.75" customHeight="1"/>
    <row r="112" spans="1: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14</vt:i4>
      </vt:variant>
    </vt:vector>
  </HeadingPairs>
  <TitlesOfParts>
    <vt:vector size="14" baseType="lpstr">
      <vt:lpstr>Benchmarki</vt:lpstr>
      <vt:lpstr>Sensitivity, Precision</vt:lpstr>
      <vt:lpstr>simulated</vt:lpstr>
      <vt:lpstr>real</vt:lpstr>
      <vt:lpstr>Dataset details</vt:lpstr>
      <vt:lpstr>List of data</vt:lpstr>
      <vt:lpstr>Benchmark Toolkit</vt:lpstr>
      <vt:lpstr>Symulatory</vt:lpstr>
      <vt:lpstr>Dockery</vt:lpstr>
      <vt:lpstr>Data access</vt:lpstr>
      <vt:lpstr>Pre-processing reproducibility</vt:lpstr>
      <vt:lpstr>Gold standard</vt:lpstr>
      <vt:lpstr>Tool statistics</vt:lpstr>
      <vt:lpstr>Tool versions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Ostrowska, Iga</cp:lastModifiedBy>
  <dcterms:modified xsi:type="dcterms:W3CDTF">2026-07-19T17:53:47Z</dcterms:modified>
</cp:coreProperties>
</file>